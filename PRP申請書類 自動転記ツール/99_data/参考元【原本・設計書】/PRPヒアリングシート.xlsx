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G:\マイドライブ\01.グローアップコンサルティング事務所\00.営業案件\再生医療案件\■サンプルデータ\"/>
    </mc:Choice>
  </mc:AlternateContent>
  <xr:revisionPtr revIDLastSave="0" documentId="13_ncr:1_{83AA592D-1745-4F0C-BDB7-DF0E3F89FFF4}" xr6:coauthVersionLast="47" xr6:coauthVersionMax="47" xr10:uidLastSave="{00000000-0000-0000-0000-000000000000}"/>
  <bookViews>
    <workbookView xWindow="-27465" yWindow="-16365" windowWidth="29040" windowHeight="15720" xr2:uid="{00000000-000D-0000-FFFF-FFFF00000000}"/>
  </bookViews>
  <sheets>
    <sheet name="ヒアリングシート（PRP）" sheetId="5" r:id="rId1"/>
    <sheet name="略歴書（PRP）" sheetId="9" r:id="rId2"/>
    <sheet name="カテゴリ・治療名" sheetId="6" r:id="rId3"/>
    <sheet name="PRPメーカー" sheetId="7" r:id="rId4"/>
    <sheet name="審査委員会" sheetId="12" r:id="rId5"/>
    <sheet name="培養委託先" sheetId="8" r:id="rId6"/>
    <sheet name="Sheet6" sheetId="11" r:id="rId7"/>
  </sheets>
  <definedNames>
    <definedName name="_xlnm._FilterDatabase" localSheetId="0" hidden="1">'ヒアリングシート（PRP）'!$B$3:$C$69</definedName>
    <definedName name="_xlnm.Print_Area" localSheetId="0">'ヒアリングシート（PRP）'!$A$1:$C$89</definedName>
    <definedName name="_xlnm.Print_Titles" localSheetId="0">'ヒアリングシート（PRP）'!$2:$2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84" i="5" l="1"/>
  <c r="C85" i="5" s="1"/>
  <c r="C81" i="5"/>
  <c r="D23" i="6"/>
  <c r="D22" i="6"/>
  <c r="D21" i="6"/>
  <c r="D19" i="6"/>
  <c r="D11" i="6"/>
  <c r="D24" i="6"/>
  <c r="D17" i="6"/>
  <c r="D18" i="6"/>
  <c r="D20" i="6"/>
  <c r="D25" i="6"/>
  <c r="D12" i="6"/>
  <c r="D8" i="6"/>
  <c r="D9" i="6"/>
  <c r="D26" i="6"/>
  <c r="D5" i="6"/>
  <c r="D6" i="6"/>
  <c r="D7" i="6"/>
  <c r="D16" i="6"/>
  <c r="D15" i="6"/>
  <c r="D13" i="6"/>
  <c r="D14" i="6"/>
  <c r="D10" i="6"/>
  <c r="D4" i="6"/>
</calcChain>
</file>

<file path=xl/sharedStrings.xml><?xml version="1.0" encoding="utf-8"?>
<sst xmlns="http://schemas.openxmlformats.org/spreadsheetml/2006/main" count="349" uniqueCount="297">
  <si>
    <t>NO</t>
    <phoneticPr fontId="1"/>
  </si>
  <si>
    <t>確認事項</t>
    <rPh sb="0" eb="2">
      <t>カクニン</t>
    </rPh>
    <rPh sb="2" eb="4">
      <t>ジコウ</t>
    </rPh>
    <phoneticPr fontId="1"/>
  </si>
  <si>
    <t>回答内容</t>
    <rPh sb="0" eb="2">
      <t>カイトウ</t>
    </rPh>
    <rPh sb="2" eb="4">
      <t>ナイヨウ</t>
    </rPh>
    <phoneticPr fontId="1"/>
  </si>
  <si>
    <t>製造責任者（通常、院長や再生医療をご担当される責任者）</t>
    <rPh sb="6" eb="8">
      <t>ツウジョウ</t>
    </rPh>
    <rPh sb="9" eb="11">
      <t>インチョウ</t>
    </rPh>
    <rPh sb="12" eb="16">
      <t>サイセイイリョウ</t>
    </rPh>
    <rPh sb="18" eb="20">
      <t>タントウ</t>
    </rPh>
    <rPh sb="23" eb="26">
      <t>セキニンシャ</t>
    </rPh>
    <phoneticPr fontId="1"/>
  </si>
  <si>
    <t>投与後の評価方法（例　KOOＳ等　１か月後、３か月後、半年後に問診と評価及び記録を行い、委員会審査及び厚生局への定期報告が必要となります）</t>
    <rPh sb="36" eb="37">
      <t>オヨ</t>
    </rPh>
    <rPh sb="41" eb="42">
      <t>オコナ</t>
    </rPh>
    <rPh sb="44" eb="47">
      <t>イインカイ</t>
    </rPh>
    <rPh sb="47" eb="49">
      <t>シンサ</t>
    </rPh>
    <rPh sb="49" eb="50">
      <t>オヨ</t>
    </rPh>
    <rPh sb="51" eb="54">
      <t>コウセイキョク</t>
    </rPh>
    <rPh sb="61" eb="63">
      <t>ヒツヨウ</t>
    </rPh>
    <phoneticPr fontId="1"/>
  </si>
  <si>
    <t>個人情報保護規定のご提供</t>
    <rPh sb="6" eb="8">
      <t>キテイ</t>
    </rPh>
    <rPh sb="10" eb="12">
      <t>テイキョウ</t>
    </rPh>
    <phoneticPr fontId="1"/>
  </si>
  <si>
    <t>【医療機関様用】ヒアリングシート・必要書類リスト</t>
    <rPh sb="1" eb="5">
      <t>イリョウキカン</t>
    </rPh>
    <rPh sb="5" eb="6">
      <t>サマ</t>
    </rPh>
    <rPh sb="6" eb="7">
      <t>ヨウ</t>
    </rPh>
    <rPh sb="17" eb="19">
      <t>ヒツヨウ</t>
    </rPh>
    <rPh sb="19" eb="21">
      <t>ショルイ</t>
    </rPh>
    <phoneticPr fontId="1"/>
  </si>
  <si>
    <t>規定の情報をご共有ください。
※特に無ければ弊所でサンプル内容を入力、ご確認頂きます。</t>
    <rPh sb="0" eb="2">
      <t>キテイ</t>
    </rPh>
    <rPh sb="3" eb="5">
      <t>ジョウホウ</t>
    </rPh>
    <rPh sb="7" eb="9">
      <t>キョウユウ</t>
    </rPh>
    <rPh sb="16" eb="17">
      <t>トク</t>
    </rPh>
    <rPh sb="18" eb="19">
      <t>ナ</t>
    </rPh>
    <rPh sb="22" eb="24">
      <t>ヘイショ</t>
    </rPh>
    <rPh sb="29" eb="31">
      <t>ナイヨウ</t>
    </rPh>
    <rPh sb="32" eb="34">
      <t>ニュウリョク</t>
    </rPh>
    <rPh sb="36" eb="38">
      <t>カクニン</t>
    </rPh>
    <rPh sb="38" eb="39">
      <t>イタダ</t>
    </rPh>
    <phoneticPr fontId="1"/>
  </si>
  <si>
    <t>※特にご指定が無ければ、弊所の方でサンプル内容を入力、ご確認頂きます。</t>
    <rPh sb="13" eb="14">
      <t>ショ</t>
    </rPh>
    <phoneticPr fontId="1"/>
  </si>
  <si>
    <t>品質責任者（通常、院長や治療医師をサポートする看護師等）</t>
    <rPh sb="6" eb="8">
      <t>ツウジョウ</t>
    </rPh>
    <rPh sb="9" eb="11">
      <t>インチョウ</t>
    </rPh>
    <rPh sb="12" eb="14">
      <t>チリョウ</t>
    </rPh>
    <rPh sb="14" eb="16">
      <t>イシ</t>
    </rPh>
    <rPh sb="23" eb="26">
      <t>カンゴシ</t>
    </rPh>
    <rPh sb="26" eb="27">
      <t>トウ</t>
    </rPh>
    <phoneticPr fontId="1"/>
  </si>
  <si>
    <t>・自家PRP(血液分離専用容器)を用いた治療における施術料　
２種：１回8万円（税込）、３種：：１回8万円（税込）</t>
    <rPh sb="32" eb="33">
      <t>シュ</t>
    </rPh>
    <rPh sb="35" eb="36">
      <t>カイ</t>
    </rPh>
    <rPh sb="37" eb="38">
      <t>マン</t>
    </rPh>
    <rPh sb="45" eb="46">
      <t>シュ</t>
    </rPh>
    <rPh sb="51" eb="52">
      <t>マン</t>
    </rPh>
    <phoneticPr fontId="1"/>
  </si>
  <si>
    <t>医療法人山田会</t>
    <rPh sb="0" eb="4">
      <t>イリョウホウジン</t>
    </rPh>
    <rPh sb="4" eb="7">
      <t>ヤマダカイ</t>
    </rPh>
    <phoneticPr fontId="1"/>
  </si>
  <si>
    <t>やまだ整形外科クリニック</t>
    <rPh sb="3" eb="7">
      <t>セイケイゲカ</t>
    </rPh>
    <phoneticPr fontId="1"/>
  </si>
  <si>
    <t>神奈川県横須賀市浦賀1-2-3</t>
    <phoneticPr fontId="1"/>
  </si>
  <si>
    <t>法人名（登記簿上）</t>
    <rPh sb="0" eb="3">
      <t>ホウジンメイ</t>
    </rPh>
    <rPh sb="4" eb="8">
      <t>トウキボジョウ</t>
    </rPh>
    <phoneticPr fontId="1"/>
  </si>
  <si>
    <t>登記簿で要確認</t>
    <rPh sb="0" eb="3">
      <t>トウキボ</t>
    </rPh>
    <rPh sb="4" eb="5">
      <t>ヨウ</t>
    </rPh>
    <rPh sb="5" eb="7">
      <t>カクニン</t>
    </rPh>
    <phoneticPr fontId="1"/>
  </si>
  <si>
    <t>診療所開設届で要確認</t>
    <rPh sb="0" eb="6">
      <t>シンリョウジョカイセツトドケ</t>
    </rPh>
    <rPh sb="7" eb="10">
      <t>ヨウカクニン</t>
    </rPh>
    <phoneticPr fontId="1"/>
  </si>
  <si>
    <t>理事長　山田 太郎</t>
    <rPh sb="0" eb="3">
      <t>リジチョウ</t>
    </rPh>
    <rPh sb="4" eb="6">
      <t>ヤマダ</t>
    </rPh>
    <rPh sb="7" eb="9">
      <t>タロウ</t>
    </rPh>
    <phoneticPr fontId="1"/>
  </si>
  <si>
    <t>山田 太郎</t>
    <rPh sb="0" eb="2">
      <t>ヤマダ</t>
    </rPh>
    <rPh sb="3" eb="5">
      <t>タロウ</t>
    </rPh>
    <phoneticPr fontId="1"/>
  </si>
  <si>
    <t>医療機関/郵便番号（診療所開設届上）</t>
    <rPh sb="0" eb="4">
      <t>イリョウキカン</t>
    </rPh>
    <rPh sb="5" eb="9">
      <t>ユウビンバンゴウ</t>
    </rPh>
    <rPh sb="16" eb="17">
      <t>ジョウ</t>
    </rPh>
    <phoneticPr fontId="1"/>
  </si>
  <si>
    <t>123-4567</t>
    <phoneticPr fontId="1"/>
  </si>
  <si>
    <t>0468-43-1234</t>
    <phoneticPr fontId="1"/>
  </si>
  <si>
    <t>氏名</t>
    <rPh sb="0" eb="2">
      <t>シメイ</t>
    </rPh>
    <phoneticPr fontId="1"/>
  </si>
  <si>
    <t>再生医療/実施責任者の連絡先（通常院長又は責任者）</t>
    <rPh sb="0" eb="2">
      <t>サイセイ</t>
    </rPh>
    <rPh sb="2" eb="4">
      <t>イリョウ</t>
    </rPh>
    <rPh sb="5" eb="7">
      <t>ジッシ</t>
    </rPh>
    <rPh sb="7" eb="10">
      <t>セキニンシャ</t>
    </rPh>
    <rPh sb="11" eb="14">
      <t>レンラクサキ</t>
    </rPh>
    <rPh sb="15" eb="17">
      <t>ツウジョウ</t>
    </rPh>
    <rPh sb="17" eb="19">
      <t>インチョウ</t>
    </rPh>
    <rPh sb="19" eb="20">
      <t>マタ</t>
    </rPh>
    <rPh sb="21" eb="24">
      <t>セキニンシャ</t>
    </rPh>
    <phoneticPr fontId="1"/>
  </si>
  <si>
    <t>電話番号</t>
    <rPh sb="0" eb="4">
      <t>デンワバンゴウ</t>
    </rPh>
    <phoneticPr fontId="1"/>
  </si>
  <si>
    <t>メールアドレス</t>
    <phoneticPr fontId="1"/>
  </si>
  <si>
    <t>法人/医療機関の基本情報</t>
    <rPh sb="0" eb="2">
      <t>ホウジン</t>
    </rPh>
    <rPh sb="3" eb="7">
      <t>イリョウキカン</t>
    </rPh>
    <rPh sb="8" eb="10">
      <t>キホン</t>
    </rPh>
    <rPh sb="10" eb="12">
      <t>ジョウホウ</t>
    </rPh>
    <phoneticPr fontId="1"/>
  </si>
  <si>
    <t>医療機関/住所（診療所開設届上）</t>
    <rPh sb="0" eb="4">
      <t>イリョウキカン</t>
    </rPh>
    <rPh sb="5" eb="7">
      <t>ジュウショ</t>
    </rPh>
    <rPh sb="14" eb="15">
      <t>ジョウ</t>
    </rPh>
    <phoneticPr fontId="1"/>
  </si>
  <si>
    <t>医療機関/名称（診療所開設届上）</t>
    <rPh sb="0" eb="4">
      <t>イリョウキカン</t>
    </rPh>
    <rPh sb="5" eb="7">
      <t>メイショウ</t>
    </rPh>
    <rPh sb="8" eb="14">
      <t>シンリョウジョカイセツトドケ</t>
    </rPh>
    <rPh sb="14" eb="15">
      <t>ジョウ</t>
    </rPh>
    <phoneticPr fontId="1"/>
  </si>
  <si>
    <r>
      <t>開設者（診療所開設届上）</t>
    </r>
    <r>
      <rPr>
        <sz val="11"/>
        <color rgb="FFFF0000"/>
        <rFont val="Yu Gothic"/>
        <family val="3"/>
        <charset val="128"/>
        <scheme val="minor"/>
      </rPr>
      <t>※医療法人の場合（役職も必要）</t>
    </r>
    <rPh sb="0" eb="3">
      <t>カイセツシャ</t>
    </rPh>
    <rPh sb="4" eb="9">
      <t>シンリョウジョカイセツ</t>
    </rPh>
    <rPh sb="9" eb="10">
      <t>トドケ</t>
    </rPh>
    <rPh sb="10" eb="11">
      <t>ジョウ</t>
    </rPh>
    <rPh sb="13" eb="17">
      <t>イリョウホウジン</t>
    </rPh>
    <rPh sb="18" eb="20">
      <t>バアイ</t>
    </rPh>
    <rPh sb="21" eb="23">
      <t>ヤクショク</t>
    </rPh>
    <rPh sb="24" eb="26">
      <t>ヒツヨウ</t>
    </rPh>
    <phoneticPr fontId="1"/>
  </si>
  <si>
    <r>
      <t>開設者（診療所開設届上）</t>
    </r>
    <r>
      <rPr>
        <sz val="11"/>
        <color rgb="FFFF0000"/>
        <rFont val="Yu Gothic"/>
        <family val="3"/>
        <charset val="128"/>
        <scheme val="minor"/>
      </rPr>
      <t>※医療法人でない場合（氏名のみ）</t>
    </r>
    <rPh sb="0" eb="3">
      <t>カイセツシャ</t>
    </rPh>
    <rPh sb="4" eb="9">
      <t>シンリョウジョカイセツ</t>
    </rPh>
    <rPh sb="9" eb="10">
      <t>トドケ</t>
    </rPh>
    <rPh sb="10" eb="11">
      <t>ジョウ</t>
    </rPh>
    <rPh sb="13" eb="17">
      <t>イリョウホウジン</t>
    </rPh>
    <rPh sb="20" eb="22">
      <t>バアイ</t>
    </rPh>
    <rPh sb="23" eb="25">
      <t>シメイ</t>
    </rPh>
    <phoneticPr fontId="1"/>
  </si>
  <si>
    <t>事務担当者の連絡先（通常院長、事務長、連絡担当者）</t>
    <rPh sb="0" eb="5">
      <t>ジムタントウシャ</t>
    </rPh>
    <rPh sb="6" eb="9">
      <t>レンラクサキ</t>
    </rPh>
    <rPh sb="10" eb="12">
      <t>ツウジョウ</t>
    </rPh>
    <rPh sb="12" eb="14">
      <t>インチョウ</t>
    </rPh>
    <rPh sb="15" eb="18">
      <t>ジムチョウ</t>
    </rPh>
    <rPh sb="19" eb="21">
      <t>レンラク</t>
    </rPh>
    <rPh sb="21" eb="24">
      <t>タントウシャ</t>
    </rPh>
    <phoneticPr fontId="1"/>
  </si>
  <si>
    <t>yamada@abc.com</t>
    <phoneticPr fontId="1"/>
  </si>
  <si>
    <t>伊藤 四郎</t>
    <rPh sb="0" eb="2">
      <t>イトウ</t>
    </rPh>
    <rPh sb="3" eb="5">
      <t>シロウ</t>
    </rPh>
    <phoneticPr fontId="1"/>
  </si>
  <si>
    <t>0468-12-3456</t>
    <phoneticPr fontId="1"/>
  </si>
  <si>
    <t>ito@abc.com</t>
    <phoneticPr fontId="1"/>
  </si>
  <si>
    <t>会社名：
担当者名：
電話番号：
Eメール：</t>
    <rPh sb="0" eb="3">
      <t>カイシャメイ</t>
    </rPh>
    <rPh sb="5" eb="8">
      <t>タントウシャ</t>
    </rPh>
    <rPh sb="8" eb="9">
      <t>メイ</t>
    </rPh>
    <rPh sb="11" eb="13">
      <t>デンワ</t>
    </rPh>
    <rPh sb="13" eb="15">
      <t>バンゴウ</t>
    </rPh>
    <phoneticPr fontId="1"/>
  </si>
  <si>
    <t>（開業の場合）行政書士
※保健所申請・開設届等でスケジュール等の確認が必要となる場合があります。</t>
    <rPh sb="7" eb="11">
      <t>ギョウセイショシ</t>
    </rPh>
    <rPh sb="13" eb="18">
      <t>ホケンジョシンセイ</t>
    </rPh>
    <rPh sb="19" eb="22">
      <t>カイセツトドケ</t>
    </rPh>
    <rPh sb="22" eb="23">
      <t>トウ</t>
    </rPh>
    <rPh sb="30" eb="31">
      <t>トウ</t>
    </rPh>
    <phoneticPr fontId="1"/>
  </si>
  <si>
    <t>（開業の場合）顧問税理士
※導入に伴い先生側から税務面や手続面等の確認が必要となる場合があります。</t>
    <rPh sb="7" eb="9">
      <t>コモン</t>
    </rPh>
    <rPh sb="9" eb="12">
      <t>ゼイリシ</t>
    </rPh>
    <rPh sb="28" eb="30">
      <t>テツヅ</t>
    </rPh>
    <rPh sb="30" eb="31">
      <t>メン</t>
    </rPh>
    <phoneticPr fontId="1"/>
  </si>
  <si>
    <t>出入り卸売り業者
※遠心機、クリーンブースのご購入元に納品時期等確認させて頂く場合あり。</t>
    <rPh sb="0" eb="2">
      <t>デイ</t>
    </rPh>
    <rPh sb="3" eb="5">
      <t>オロシウ</t>
    </rPh>
    <rPh sb="6" eb="8">
      <t>ギョウシャ</t>
    </rPh>
    <rPh sb="10" eb="13">
      <t>エンシンキ</t>
    </rPh>
    <rPh sb="23" eb="25">
      <t>コウニュウ</t>
    </rPh>
    <rPh sb="25" eb="26">
      <t>モト</t>
    </rPh>
    <rPh sb="27" eb="31">
      <t>ノウヒンジキ</t>
    </rPh>
    <rPh sb="31" eb="32">
      <t>トウ</t>
    </rPh>
    <rPh sb="32" eb="34">
      <t>カクニン</t>
    </rPh>
    <rPh sb="37" eb="38">
      <t>イタダ</t>
    </rPh>
    <rPh sb="39" eb="41">
      <t>バアイ</t>
    </rPh>
    <phoneticPr fontId="1"/>
  </si>
  <si>
    <t>HP制作担当者・管理業者
※再生医療関連の記事やページを掲載する場合の対応のため</t>
    <rPh sb="2" eb="4">
      <t>セイサク</t>
    </rPh>
    <rPh sb="4" eb="7">
      <t>タントウシャ</t>
    </rPh>
    <rPh sb="8" eb="10">
      <t>カンリ</t>
    </rPh>
    <rPh sb="10" eb="12">
      <t>ギョウシャ</t>
    </rPh>
    <rPh sb="14" eb="18">
      <t>サイセイイリョウ</t>
    </rPh>
    <rPh sb="18" eb="20">
      <t>カンレン</t>
    </rPh>
    <rPh sb="21" eb="23">
      <t>キジ</t>
    </rPh>
    <rPh sb="28" eb="30">
      <t>ケイサイ</t>
    </rPh>
    <rPh sb="32" eb="34">
      <t>バアイ</t>
    </rPh>
    <rPh sb="35" eb="37">
      <t>タイオウ</t>
    </rPh>
    <phoneticPr fontId="1"/>
  </si>
  <si>
    <t>関連会社の連絡</t>
    <rPh sb="0" eb="2">
      <t>カンレン</t>
    </rPh>
    <rPh sb="2" eb="4">
      <t>カイシャ</t>
    </rPh>
    <rPh sb="5" eb="7">
      <t>レンラク</t>
    </rPh>
    <phoneticPr fontId="1"/>
  </si>
  <si>
    <t>自家多血小板血漿（PRP）を用いた関節内組織損傷に対する治療</t>
  </si>
  <si>
    <t>再生医療等の名称</t>
    <rPh sb="0" eb="4">
      <t>サイセイイリョウ</t>
    </rPh>
    <rPh sb="4" eb="5">
      <t>トウ</t>
    </rPh>
    <rPh sb="6" eb="8">
      <t>メイショウ</t>
    </rPh>
    <phoneticPr fontId="1"/>
  </si>
  <si>
    <t>カテゴリ</t>
    <phoneticPr fontId="1"/>
  </si>
  <si>
    <t>整形外科</t>
    <rPh sb="0" eb="2">
      <t>セイケイ</t>
    </rPh>
    <rPh sb="2" eb="4">
      <t>ゲカ</t>
    </rPh>
    <phoneticPr fontId="1"/>
  </si>
  <si>
    <t>治療名</t>
    <rPh sb="0" eb="2">
      <t>チリョウ</t>
    </rPh>
    <rPh sb="2" eb="3">
      <t>メイ</t>
    </rPh>
    <phoneticPr fontId="1"/>
  </si>
  <si>
    <t>2種PRP</t>
    <rPh sb="1" eb="2">
      <t>シュ</t>
    </rPh>
    <phoneticPr fontId="1"/>
  </si>
  <si>
    <t>3種PRP</t>
    <rPh sb="1" eb="2">
      <t>シュ</t>
    </rPh>
    <phoneticPr fontId="1"/>
  </si>
  <si>
    <t>2種幹細胞</t>
    <rPh sb="1" eb="2">
      <t>シュ</t>
    </rPh>
    <rPh sb="2" eb="5">
      <t>カンサイボウ</t>
    </rPh>
    <phoneticPr fontId="1"/>
  </si>
  <si>
    <t>四肢の筋・腱・靱帯及びその付着部の傷害を対象とした自家多血小板血漿（PRP）注入療法</t>
  </si>
  <si>
    <t>四肢の筋・腱・靱帯及びその付着部の傷害を対象とした自家多血小板血漿（PRP）注入療法</t>
    <phoneticPr fontId="1"/>
  </si>
  <si>
    <t>整形外科</t>
    <rPh sb="0" eb="4">
      <t>セイケイゲカ</t>
    </rPh>
    <phoneticPr fontId="1"/>
  </si>
  <si>
    <t>AGA</t>
    <phoneticPr fontId="1"/>
  </si>
  <si>
    <t>全般</t>
    <rPh sb="0" eb="2">
      <t>ゼンパン</t>
    </rPh>
    <phoneticPr fontId="1"/>
  </si>
  <si>
    <t>変形性関節症に対する自己滑膜由来培養間葉系幹細胞の関節内投与療法</t>
    <phoneticPr fontId="1"/>
  </si>
  <si>
    <t>PRP(多血小板血漿)を用いた皮膚の再生を目的とした再生医療</t>
    <phoneticPr fontId="1"/>
  </si>
  <si>
    <t>PRP(多血小板血漿)を用いた育毛を目的とした再生医療</t>
    <phoneticPr fontId="1"/>
  </si>
  <si>
    <t>動脈硬化関連血管障害リスクの低減を目的とした自己脂肪組織由来幹細胞治療</t>
    <phoneticPr fontId="1"/>
  </si>
  <si>
    <t>がんの治療と予防を目的としたNK細胞を用いたアンチエイジング療法</t>
    <phoneticPr fontId="1"/>
  </si>
  <si>
    <t>免疫治療</t>
    <rPh sb="0" eb="4">
      <t>メンエキチリョウ</t>
    </rPh>
    <phoneticPr fontId="1"/>
  </si>
  <si>
    <t>子宮内膜に対する自家多血小板血漿（自家PRP）を用いた反復性着床不全を対象とした不妊治療</t>
  </si>
  <si>
    <t>不妊治療</t>
    <rPh sb="0" eb="4">
      <t>フニンチリョウ</t>
    </rPh>
    <phoneticPr fontId="1"/>
  </si>
  <si>
    <t>診療領域</t>
    <rPh sb="0" eb="4">
      <t>シンリョウリョウイキ</t>
    </rPh>
    <phoneticPr fontId="1"/>
  </si>
  <si>
    <t>卵巣に対する自家多血小板血漿（自家PRP）を用いた不妊治療</t>
    <phoneticPr fontId="1"/>
  </si>
  <si>
    <t>2種繊維芽</t>
    <rPh sb="1" eb="2">
      <t>シュ</t>
    </rPh>
    <rPh sb="2" eb="5">
      <t>センイガ</t>
    </rPh>
    <phoneticPr fontId="1"/>
  </si>
  <si>
    <t>自家培養真皮線維芽細胞を用いた皮膚再生治療</t>
    <phoneticPr fontId="1"/>
  </si>
  <si>
    <t>自己脂肪由来幹細胞を用いた脳血管障害治療</t>
    <phoneticPr fontId="1"/>
  </si>
  <si>
    <t>3種免疫療法</t>
    <rPh sb="1" eb="2">
      <t>シュ</t>
    </rPh>
    <rPh sb="2" eb="6">
      <t>メンエキリョウホウ</t>
    </rPh>
    <phoneticPr fontId="1"/>
  </si>
  <si>
    <t>免疫/美容</t>
    <rPh sb="0" eb="2">
      <t>メンエキ</t>
    </rPh>
    <rPh sb="3" eb="5">
      <t>ビヨウ</t>
    </rPh>
    <phoneticPr fontId="1"/>
  </si>
  <si>
    <t>自己脂肪由来幹細胞を用いたフレイル治療</t>
    <phoneticPr fontId="1"/>
  </si>
  <si>
    <t>自己脂肪由来幹細胞を用いた肝障害治療</t>
    <phoneticPr fontId="1"/>
  </si>
  <si>
    <t>自己脂肪由来幹細胞を用いた更年期障害治療</t>
    <phoneticPr fontId="1"/>
  </si>
  <si>
    <t>自己脂肪由来幹細胞を用いた糖尿病治療</t>
    <phoneticPr fontId="1"/>
  </si>
  <si>
    <t>内科</t>
    <rPh sb="0" eb="2">
      <t>ナイカ</t>
    </rPh>
    <phoneticPr fontId="1"/>
  </si>
  <si>
    <t>泌尿器科</t>
    <rPh sb="0" eb="4">
      <t>ヒニョウキカ</t>
    </rPh>
    <phoneticPr fontId="1"/>
  </si>
  <si>
    <t>脳外科</t>
    <rPh sb="0" eb="3">
      <t>ノウゲカ</t>
    </rPh>
    <phoneticPr fontId="1"/>
  </si>
  <si>
    <t>婦人科</t>
    <rPh sb="0" eb="3">
      <t>フジンカ</t>
    </rPh>
    <phoneticPr fontId="1"/>
  </si>
  <si>
    <t>自己脂肪組織由来培養間葉系幹細胞を用いた関節系疾患に対する治療（局所投与）</t>
    <rPh sb="32" eb="34">
      <t>キョクショ</t>
    </rPh>
    <rPh sb="34" eb="36">
      <t>トウヨ</t>
    </rPh>
    <phoneticPr fontId="1"/>
  </si>
  <si>
    <t>自己脂肪由来幹細胞を用いた毛髪組織の治療（局所投与）</t>
    <phoneticPr fontId="1"/>
  </si>
  <si>
    <t>自己脂肪由来幹細胞を用いたED（勃起不全）治療（局所投与）</t>
    <phoneticPr fontId="1"/>
  </si>
  <si>
    <t>アトピー性皮膚炎患者の主症状に対する自己脂肪由来間葉系
幹細胞による治療</t>
    <phoneticPr fontId="1"/>
  </si>
  <si>
    <t>自己脂肪由来幹細胞を用いた慢性疼痛治療</t>
    <phoneticPr fontId="1"/>
  </si>
  <si>
    <t>自己脂肪由来幹細胞を用いた皮膚の再生を目的とした再生医療</t>
    <phoneticPr fontId="1"/>
  </si>
  <si>
    <t>美容/皮膚</t>
    <rPh sb="0" eb="2">
      <t>ビヨウ</t>
    </rPh>
    <rPh sb="3" eb="5">
      <t>ヒフ</t>
    </rPh>
    <phoneticPr fontId="1"/>
  </si>
  <si>
    <t>皮膚</t>
    <rPh sb="0" eb="2">
      <t>ヒフ</t>
    </rPh>
    <phoneticPr fontId="1"/>
  </si>
  <si>
    <t xml:space="preserve">自己脂肪（組織）由来間葉系幹細胞を用いた自己免疫疾患の治療 </t>
    <phoneticPr fontId="1"/>
  </si>
  <si>
    <t>再生医療の名称等（カテゴリ・種別・名称）</t>
    <rPh sb="0" eb="4">
      <t>サイセイイリョウ</t>
    </rPh>
    <rPh sb="5" eb="7">
      <t>メイショウ</t>
    </rPh>
    <rPh sb="7" eb="8">
      <t>トウ</t>
    </rPh>
    <rPh sb="14" eb="16">
      <t>シュベツ</t>
    </rPh>
    <rPh sb="17" eb="19">
      <t>メイショウ</t>
    </rPh>
    <phoneticPr fontId="1"/>
  </si>
  <si>
    <t>PRPメーカー</t>
    <phoneticPr fontId="1"/>
  </si>
  <si>
    <t>Condensia PRP調製キット（京セラ）</t>
    <rPh sb="19" eb="20">
      <t>キョウ</t>
    </rPh>
    <phoneticPr fontId="1"/>
  </si>
  <si>
    <t>ACPダブルシリンジ（Arthrex Japan）</t>
    <phoneticPr fontId="1"/>
  </si>
  <si>
    <t>ACP MAX PRP システム（Arthrex Japan）</t>
    <phoneticPr fontId="1"/>
  </si>
  <si>
    <t>Angel cPRP／BMCシステム（Arthrex Japan）</t>
    <phoneticPr fontId="1"/>
  </si>
  <si>
    <t>APSキット （ZIMMER BIOMET）</t>
  </si>
  <si>
    <t>APSキット （ZIMMER BIOMET）</t>
    <phoneticPr fontId="1"/>
  </si>
  <si>
    <t>PRPキットメーカー①（右記タブから選択）</t>
    <phoneticPr fontId="1"/>
  </si>
  <si>
    <t>PRPキットメーカー②（右記タブから選択）</t>
    <phoneticPr fontId="1"/>
  </si>
  <si>
    <t>PRPキットメーカー③（右記タブから選択）</t>
    <phoneticPr fontId="1"/>
  </si>
  <si>
    <t>再生医療①（右記タブから選択）</t>
    <rPh sb="0" eb="4">
      <t>サイセイイリョウ</t>
    </rPh>
    <rPh sb="6" eb="8">
      <t>ウキ</t>
    </rPh>
    <rPh sb="12" eb="14">
      <t>センタク</t>
    </rPh>
    <phoneticPr fontId="1"/>
  </si>
  <si>
    <t>再生医療②（右記タブから選択）</t>
    <rPh sb="0" eb="4">
      <t>サイセイイリョウ</t>
    </rPh>
    <rPh sb="6" eb="8">
      <t>ウキ</t>
    </rPh>
    <rPh sb="12" eb="14">
      <t>センタク</t>
    </rPh>
    <phoneticPr fontId="1"/>
  </si>
  <si>
    <t>再生医療③（右記タブから選択）</t>
    <rPh sb="0" eb="4">
      <t>サイセイイリョウ</t>
    </rPh>
    <rPh sb="6" eb="8">
      <t>ウキ</t>
    </rPh>
    <rPh sb="12" eb="14">
      <t>センタク</t>
    </rPh>
    <phoneticPr fontId="1"/>
  </si>
  <si>
    <t>再生医療④（右記タブから選択）</t>
    <rPh sb="0" eb="4">
      <t>サイセイイリョウ</t>
    </rPh>
    <rPh sb="6" eb="8">
      <t>ウキ</t>
    </rPh>
    <rPh sb="12" eb="14">
      <t>センタク</t>
    </rPh>
    <phoneticPr fontId="1"/>
  </si>
  <si>
    <t>採血量</t>
    <rPh sb="0" eb="3">
      <t>サイケツリョウ</t>
    </rPh>
    <phoneticPr fontId="1"/>
  </si>
  <si>
    <t>Mycells PRPキット/スモールスピッツ（ベリタス）</t>
    <phoneticPr fontId="1"/>
  </si>
  <si>
    <t>Mycells PRPキット/ラージスピッツ（ベリタス）</t>
    <phoneticPr fontId="1"/>
  </si>
  <si>
    <t>GPSⅢ システム（ZIMMER BIOMET）</t>
  </si>
  <si>
    <t>GPSⅢ システム（ZIMMER BIOMET）</t>
    <phoneticPr fontId="1"/>
  </si>
  <si>
    <t>30-90</t>
    <phoneticPr fontId="1"/>
  </si>
  <si>
    <t>26-52</t>
    <phoneticPr fontId="1"/>
  </si>
  <si>
    <t>40-180</t>
    <phoneticPr fontId="1"/>
  </si>
  <si>
    <t>必要な採血量（複数キットの場合は〇ml-〇ml)</t>
    <rPh sb="0" eb="2">
      <t>ヒツヨウ</t>
    </rPh>
    <rPh sb="3" eb="6">
      <t>サイケツリョウ</t>
    </rPh>
    <rPh sb="7" eb="9">
      <t>フクスウ</t>
    </rPh>
    <rPh sb="13" eb="15">
      <t>バアイ</t>
    </rPh>
    <phoneticPr fontId="1"/>
  </si>
  <si>
    <t>委託先業者の選択（PRPの場合）</t>
    <rPh sb="0" eb="5">
      <t>イタクサキギョウシャ</t>
    </rPh>
    <rPh sb="6" eb="8">
      <t>センタク</t>
    </rPh>
    <rPh sb="13" eb="15">
      <t>バアイ</t>
    </rPh>
    <phoneticPr fontId="1"/>
  </si>
  <si>
    <t>委託先業者の選択（幹細胞の場合）</t>
    <rPh sb="0" eb="5">
      <t>イタクサキギョウシャ</t>
    </rPh>
    <rPh sb="6" eb="8">
      <t>センタク</t>
    </rPh>
    <rPh sb="9" eb="12">
      <t>カンサイボウ</t>
    </rPh>
    <rPh sb="13" eb="15">
      <t>バアイ</t>
    </rPh>
    <phoneticPr fontId="1"/>
  </si>
  <si>
    <t>培養委託先メーカー</t>
    <rPh sb="0" eb="5">
      <t>バイヨウイタクサキ</t>
    </rPh>
    <phoneticPr fontId="1"/>
  </si>
  <si>
    <t>グランソール免疫研究所</t>
    <rPh sb="6" eb="11">
      <t>メンエキケンキュウジョ</t>
    </rPh>
    <phoneticPr fontId="1"/>
  </si>
  <si>
    <t>細胞応用技術研究所</t>
    <rPh sb="0" eb="9">
      <t>サイボウオウヨウギジュツケンキュウジョ</t>
    </rPh>
    <phoneticPr fontId="1"/>
  </si>
  <si>
    <t>リソークリニック細胞加工施設</t>
    <rPh sb="8" eb="14">
      <t>サイボウカコウシセツ</t>
    </rPh>
    <phoneticPr fontId="1"/>
  </si>
  <si>
    <t>モティーフ銀座クリニック細胞加工施設</t>
    <rPh sb="5" eb="7">
      <t>ギンザ</t>
    </rPh>
    <rPh sb="12" eb="18">
      <t>サイボウカコウシセツ</t>
    </rPh>
    <phoneticPr fontId="1"/>
  </si>
  <si>
    <t>セルバンク</t>
    <phoneticPr fontId="1"/>
  </si>
  <si>
    <t>RMDC</t>
    <phoneticPr fontId="1"/>
  </si>
  <si>
    <t>コージンバイオ</t>
    <phoneticPr fontId="1"/>
  </si>
  <si>
    <t>日本バイオセラピー研究所</t>
    <rPh sb="0" eb="2">
      <t>ニホン</t>
    </rPh>
    <rPh sb="9" eb="12">
      <t>ケンキュウジョ</t>
    </rPh>
    <phoneticPr fontId="1"/>
  </si>
  <si>
    <t>セルソース</t>
    <phoneticPr fontId="1"/>
  </si>
  <si>
    <t>バイオマスター</t>
    <phoneticPr fontId="1"/>
  </si>
  <si>
    <t>バイオアクセル（免疫療法のみ）</t>
    <rPh sb="8" eb="12">
      <t>メンエキリョウホウ</t>
    </rPh>
    <phoneticPr fontId="1"/>
  </si>
  <si>
    <t>メディネット（免疫療法のみ）</t>
    <rPh sb="7" eb="11">
      <t>メンエキリョウホウ</t>
    </rPh>
    <phoneticPr fontId="1"/>
  </si>
  <si>
    <t>培養委託先メーカー（右記タブから選択）</t>
    <rPh sb="0" eb="5">
      <t>バイヨウイタクサキ</t>
    </rPh>
    <rPh sb="10" eb="12">
      <t>ウキ</t>
    </rPh>
    <rPh sb="16" eb="18">
      <t>センタク</t>
    </rPh>
    <phoneticPr fontId="1"/>
  </si>
  <si>
    <t>採血・製造・投与の場所（PRPの場合）</t>
    <rPh sb="0" eb="2">
      <t>サイケツ</t>
    </rPh>
    <rPh sb="3" eb="5">
      <t>セイゾウ</t>
    </rPh>
    <rPh sb="6" eb="8">
      <t>トウヨ</t>
    </rPh>
    <rPh sb="9" eb="11">
      <t>バショ</t>
    </rPh>
    <rPh sb="16" eb="18">
      <t>バアイ</t>
    </rPh>
    <phoneticPr fontId="1"/>
  </si>
  <si>
    <t>必要な準備品（PRPの場合）</t>
    <rPh sb="0" eb="2">
      <t>ヒツヨウ</t>
    </rPh>
    <rPh sb="3" eb="6">
      <t>ジュンビヒン</t>
    </rPh>
    <rPh sb="11" eb="13">
      <t>バアイ</t>
    </rPh>
    <phoneticPr fontId="1"/>
  </si>
  <si>
    <t>遠心分離機</t>
    <phoneticPr fontId="1"/>
  </si>
  <si>
    <t>必要機器</t>
    <rPh sb="0" eb="4">
      <t>ヒツヨウキキ</t>
    </rPh>
    <phoneticPr fontId="1"/>
  </si>
  <si>
    <t>クリーンブース</t>
  </si>
  <si>
    <t>クリーンブース</t>
    <phoneticPr fontId="1"/>
  </si>
  <si>
    <t>クリーンベンチ</t>
    <phoneticPr fontId="1"/>
  </si>
  <si>
    <t>クリーンベンチ又はクリーンブース（右記タブより選択）</t>
    <rPh sb="7" eb="8">
      <t>マタ</t>
    </rPh>
    <rPh sb="17" eb="19">
      <t>ウキ</t>
    </rPh>
    <rPh sb="23" eb="25">
      <t>センタク</t>
    </rPh>
    <phoneticPr fontId="1"/>
  </si>
  <si>
    <t>救急対応等に関する準備</t>
    <rPh sb="0" eb="5">
      <t>キュウキュウタイオウトウ</t>
    </rPh>
    <rPh sb="6" eb="7">
      <t>カン</t>
    </rPh>
    <rPh sb="9" eb="11">
      <t>ジュンビ</t>
    </rPh>
    <phoneticPr fontId="1"/>
  </si>
  <si>
    <r>
      <t xml:space="preserve">救急搬送先との連携書類（登録医証・連携医療機関証等）
</t>
    </r>
    <r>
      <rPr>
        <sz val="11"/>
        <color rgb="FFFF0000"/>
        <rFont val="Yu Gothic"/>
        <family val="3"/>
        <charset val="128"/>
        <scheme val="minor"/>
      </rPr>
      <t>※2026年3月より登録医・連携医療機関証が必須</t>
    </r>
    <rPh sb="0" eb="2">
      <t>キュウキュウ</t>
    </rPh>
    <rPh sb="2" eb="4">
      <t>ハンソウ</t>
    </rPh>
    <rPh sb="4" eb="5">
      <t>サキ</t>
    </rPh>
    <rPh sb="7" eb="9">
      <t>レンケイ</t>
    </rPh>
    <rPh sb="9" eb="11">
      <t>ショルイ</t>
    </rPh>
    <rPh sb="12" eb="15">
      <t>トウロクイ</t>
    </rPh>
    <rPh sb="15" eb="16">
      <t>ショウ</t>
    </rPh>
    <rPh sb="17" eb="19">
      <t>レンケイ</t>
    </rPh>
    <rPh sb="19" eb="21">
      <t>イリョウ</t>
    </rPh>
    <rPh sb="21" eb="23">
      <t>キカン</t>
    </rPh>
    <rPh sb="23" eb="24">
      <t>ショウ</t>
    </rPh>
    <rPh sb="24" eb="25">
      <t>トウ</t>
    </rPh>
    <phoneticPr fontId="1"/>
  </si>
  <si>
    <t>〇〇医師賠償責任保険</t>
    <rPh sb="2" eb="4">
      <t>イシ</t>
    </rPh>
    <phoneticPr fontId="1"/>
  </si>
  <si>
    <r>
      <t xml:space="preserve">再生医療にかかる健康被害を補償・カバーする加入保険名称
</t>
    </r>
    <r>
      <rPr>
        <sz val="11"/>
        <color rgb="FFFF0000"/>
        <rFont val="Yu Gothic"/>
        <family val="3"/>
        <charset val="128"/>
        <scheme val="minor"/>
      </rPr>
      <t>※例：日本医師会「日医医賠償責任保険」、「医療施設賠償責任保険」、●●県医師協同組合「●●県医師会団体医師賠償責任保険」、「再生医療サポート保険」等加入されている保険を教えて下さい
※医療賠償保険の場合、再生医療等の健康被害について補償があるか確認下さい。</t>
    </r>
    <rPh sb="8" eb="10">
      <t>ケンコウ</t>
    </rPh>
    <rPh sb="10" eb="12">
      <t>ヒガイ</t>
    </rPh>
    <rPh sb="13" eb="15">
      <t>ホショウ</t>
    </rPh>
    <rPh sb="21" eb="23">
      <t>カニュウ</t>
    </rPh>
    <rPh sb="23" eb="25">
      <t>ホケン</t>
    </rPh>
    <rPh sb="25" eb="27">
      <t>メイショウ</t>
    </rPh>
    <phoneticPr fontId="1"/>
  </si>
  <si>
    <r>
      <t>【自施設にて備えている設備】　</t>
    </r>
    <r>
      <rPr>
        <b/>
        <sz val="11"/>
        <color rgb="FFFF0000"/>
        <rFont val="Yu Gothic"/>
        <family val="3"/>
        <charset val="128"/>
        <scheme val="minor"/>
      </rPr>
      <t>※AEDや救急カートなどあるものを記載</t>
    </r>
    <r>
      <rPr>
        <sz val="11"/>
        <color rgb="FFFF0000"/>
        <rFont val="Yu Gothic"/>
        <family val="2"/>
        <scheme val="minor"/>
      </rPr>
      <t xml:space="preserve">
（設備の内容）</t>
    </r>
    <r>
      <rPr>
        <b/>
        <u/>
        <sz val="11"/>
        <color rgb="FFFF0000"/>
        <rFont val="Yu Gothic"/>
        <family val="3"/>
        <charset val="128"/>
        <scheme val="minor"/>
      </rPr>
      <t>救急カートor救急バック（必須）</t>
    </r>
    <r>
      <rPr>
        <sz val="11"/>
        <color rgb="FFFF0000"/>
        <rFont val="Yu Gothic"/>
        <family val="2"/>
        <scheme val="minor"/>
      </rPr>
      <t>・AED・エコー・血圧測定器・血糖値測定器・X線・MRI等
【救急時に搬送先の医療機関】
（医療機関の名称）●●総合病院（病床数〇〇床）
（施設又は設備の内容）救急指定病院であり、以下の設備をそなえている。
・AED・ECG記録計・血糖値測定器・気道確保用機器・X線・心電図・輸血、輸液のための装置・人工呼吸器・MRI等</t>
    </r>
    <rPh sb="20" eb="22">
      <t>キュウキュウ</t>
    </rPh>
    <rPh sb="49" eb="51">
      <t>キュウキュウ</t>
    </rPh>
    <rPh sb="55" eb="57">
      <t>ヒッス</t>
    </rPh>
    <rPh sb="67" eb="69">
      <t>ケツアツ</t>
    </rPh>
    <rPh sb="69" eb="72">
      <t>ソクテイキ</t>
    </rPh>
    <rPh sb="86" eb="87">
      <t>トウ</t>
    </rPh>
    <rPh sb="90" eb="92">
      <t>キュウキュウ</t>
    </rPh>
    <rPh sb="92" eb="93">
      <t>ジ</t>
    </rPh>
    <rPh sb="94" eb="97">
      <t>ハンソウサキ</t>
    </rPh>
    <rPh sb="98" eb="102">
      <t>イリョウキカン</t>
    </rPh>
    <rPh sb="120" eb="123">
      <t>ビョウショウスウ</t>
    </rPh>
    <rPh sb="125" eb="126">
      <t>ユカ</t>
    </rPh>
    <rPh sb="218" eb="219">
      <t>トウ</t>
    </rPh>
    <phoneticPr fontId="1"/>
  </si>
  <si>
    <r>
      <t xml:space="preserve">救急医療に必要な施設又は設備の確認
</t>
    </r>
    <r>
      <rPr>
        <sz val="11"/>
        <color rgb="FFFF0000"/>
        <rFont val="Yu Gothic"/>
        <family val="3"/>
        <charset val="128"/>
        <scheme val="minor"/>
      </rPr>
      <t>※救急搬送先（連携医療機関）は名称だけで結構です。こちらで病床数や設備をお調べします</t>
    </r>
    <rPh sb="2" eb="4">
      <t>イリョウ</t>
    </rPh>
    <rPh sb="5" eb="7">
      <t>ヒツヨウ</t>
    </rPh>
    <rPh sb="8" eb="10">
      <t>シセツ</t>
    </rPh>
    <rPh sb="10" eb="11">
      <t>マタ</t>
    </rPh>
    <rPh sb="12" eb="14">
      <t>セツビ</t>
    </rPh>
    <rPh sb="15" eb="17">
      <t>カクニン</t>
    </rPh>
    <rPh sb="19" eb="24">
      <t>キュウキュウハンソウサキ</t>
    </rPh>
    <rPh sb="25" eb="31">
      <t>レンケイイリョウキカン</t>
    </rPh>
    <rPh sb="33" eb="35">
      <t>メイショウ</t>
    </rPh>
    <rPh sb="38" eb="40">
      <t>ケッコウ</t>
    </rPh>
    <rPh sb="47" eb="50">
      <t>ビョウショウスウ</t>
    </rPh>
    <rPh sb="51" eb="53">
      <t>セツビ</t>
    </rPh>
    <rPh sb="55" eb="56">
      <t>シラ</t>
    </rPh>
    <phoneticPr fontId="1"/>
  </si>
  <si>
    <t>氏名</t>
  </si>
  <si>
    <t>とうきょう　たろう</t>
  </si>
  <si>
    <t>東京　太郎</t>
  </si>
  <si>
    <t>生年月日</t>
  </si>
  <si>
    <t>昭和〇〇年〇〇月○○日</t>
  </si>
  <si>
    <t>所属</t>
  </si>
  <si>
    <t>○○病院　整形外科</t>
  </si>
  <si>
    <t>役職</t>
  </si>
  <si>
    <t>整形外科センター長</t>
  </si>
  <si>
    <t>認定医等の資格</t>
  </si>
  <si>
    <t>専門分野</t>
  </si>
  <si>
    <t>膝関節、スポーツ医学、外傷全般</t>
  </si>
  <si>
    <t>所属学会等</t>
  </si>
  <si>
    <t>日本再生医療学会、日本整形外科学会、日本手外科学会、日本リウマチ学会、日本脊椎脊髄病学会</t>
  </si>
  <si>
    <t>臨床経験及び研究に関する実績</t>
  </si>
  <si>
    <t>〈再生医療治療の経験値〉※経験がある場合</t>
  </si>
  <si>
    <t>（臨床経験が無い場合：【研修】に関する記載）</t>
  </si>
  <si>
    <t>（救急医療の知識及び経験の確認） 2025年12月追加確認要請あり</t>
  </si>
  <si>
    <t>医師略歴書
（再生医療等を行う医師）</t>
    <phoneticPr fontId="1"/>
  </si>
  <si>
    <t>医師免許
職歴</t>
    <rPh sb="0" eb="4">
      <t>イシメンキョ</t>
    </rPh>
    <phoneticPr fontId="1"/>
  </si>
  <si>
    <t>医籍番号：第・・・・・号　　
免許取得日：・・・年・・月・・日
○○○○年　○○大学　医学部　卒
20○○年4月～20○○年3月　○○病院　研修医　勤務
20○○年4月～20○○年3月　○○病院　整形外科　勤務
20○○年4月～20○○年3月　○○病院　整形外科　勤務
20○○年4月～20○○年3月　○○病院　整形外科　勤務
20○○年4月～20○○年3月　○○病院　整形外科　勤務
20○○年4月～20○○年3月　○○病院　整形外科　勤務
20○○年4月～20○○年3月　○○病院　整形外科　勤務
20○○年4月～20○○年3月　○○病院　整形外科　勤務
20○○年4月～20○○年3月　○○大学医学部附属病院　整形外科　勤務
20○○年4月～　○○クリニック開業　院長着任　現在に至る</t>
    <phoneticPr fontId="1"/>
  </si>
  <si>
    <t>日本整形外科学会専門医
日本整形外科学会認定運動器リハビリテーション医
日本スポーツ協会公認スポーツドクター
日本障がい者スポーツ協会公認障がい者スポーツ医
日本陸上競技協会公認コーチ</t>
    <phoneticPr fontId="1"/>
  </si>
  <si>
    <t>・脂肪組織由来（幹）細胞を用いた変形性関節症に対する治療：〇症例
・脂肪組織由来(幹)細胞を用いた慢性疼痛に対する治療：〇症例
・PRPを用いた筋・腱・靭帯の軟部組織再生療法：〇症例</t>
    <phoneticPr fontId="1"/>
  </si>
  <si>
    <t>2025年〇月開催の日本整形外科学会（日本再生医療学会）におけるPRP治療の臨床や治療成績、課題等を題目に上げたセミナーへ参加済み。
※（京セラ例）2025年8月1日開催の京セラ㈱及びCBC㈱主催のPRP治療の臨床等をテーマに上げたセミナーへ参加済み（座長：東京城南整形外科米川正吾院長、演者：畠山整形外科スポーツクリニック畠山昌久院長他）
※（マイセル例）〇月〇日日本アンチエイジング医療協会主催の〇〇先生によるPRP治療セミナー
2025年〇月〇日、PRPキットメーカー〇〇㈱〇〇氏によるPRPキットの利用方法等のデモンストレーション会を開催済み。</t>
    <phoneticPr fontId="1"/>
  </si>
  <si>
    <t>（臨床経験が無い場合：【指導体制】に関する記載）
※指導医管理下で数例を指導医と共に実施する体制を求められます（2025年12月記載要請あり）</t>
    <phoneticPr fontId="1"/>
  </si>
  <si>
    <t>推奨例：PRP治療（幹細胞治療）については、既に治療を実施している当院（又は〇〇病院）の○○医師より2025年〇月に指導を受けております。また、初期の治療は指導を受けながら実施してまいります。
（代替例：PRP治療を行うに当たり、初期の治療はPRPキットメーカー〇〇㈱〇〇氏による立会いのもと実施して参ります。）</t>
    <phoneticPr fontId="1"/>
  </si>
  <si>
    <t>記載例）救急医療については、〇〇年（又は〇〇病院勤務時）にACLS・BLS等を受講済み（念のため受講済み証があるかご確認下さい）。
記載例）救急医療については、〇〇病院に勤めていた際に実務経験があります。</t>
    <phoneticPr fontId="1"/>
  </si>
  <si>
    <t>・膝関節病変における多血小板血療法．第○回XXXXXX学会総会・学術大会，XXXX，東京.（学会発表）
・変形性関節症に対するPRP治療を施行した症例の疼痛改善効果経過観察．○○○○学会誌 XX (X): XX-XX, XXXX（論文）</t>
    <phoneticPr fontId="1"/>
  </si>
  <si>
    <t>（研究・発表実績がある場合のみ）</t>
    <rPh sb="4" eb="6">
      <t>ハッピョウ</t>
    </rPh>
    <phoneticPr fontId="1"/>
  </si>
  <si>
    <t>別紙「医師履歴書フォーマット」をご参考頂き、ご提供願います。</t>
    <rPh sb="0" eb="2">
      <t>ベッシ</t>
    </rPh>
    <rPh sb="3" eb="5">
      <t>イシ</t>
    </rPh>
    <rPh sb="5" eb="8">
      <t>リレキショ</t>
    </rPh>
    <rPh sb="17" eb="19">
      <t>サンコウ</t>
    </rPh>
    <rPh sb="19" eb="20">
      <t>イタダ</t>
    </rPh>
    <rPh sb="23" eb="25">
      <t>テイキョウ</t>
    </rPh>
    <rPh sb="25" eb="26">
      <t>ネガ</t>
    </rPh>
    <phoneticPr fontId="1"/>
  </si>
  <si>
    <r>
      <t>各医師の履歴書　</t>
    </r>
    <r>
      <rPr>
        <sz val="11"/>
        <color rgb="FFFF0000"/>
        <rFont val="Yu Gothic"/>
        <family val="3"/>
        <charset val="128"/>
        <scheme val="minor"/>
      </rPr>
      <t>※再生医療を行う医師</t>
    </r>
    <r>
      <rPr>
        <b/>
        <u/>
        <sz val="11"/>
        <color rgb="FFFF0000"/>
        <rFont val="Yu Gothic"/>
        <family val="3"/>
        <charset val="128"/>
        <scheme val="minor"/>
      </rPr>
      <t>全員分</t>
    </r>
    <rPh sb="0" eb="1">
      <t>カク</t>
    </rPh>
    <rPh sb="1" eb="3">
      <t>イシ</t>
    </rPh>
    <rPh sb="9" eb="13">
      <t>サイセイイリョウ</t>
    </rPh>
    <rPh sb="14" eb="15">
      <t>オコナ</t>
    </rPh>
    <rPh sb="16" eb="18">
      <t>イシ</t>
    </rPh>
    <rPh sb="18" eb="21">
      <t>ゼンインブン</t>
    </rPh>
    <phoneticPr fontId="1"/>
  </si>
  <si>
    <t>平面図PDFデータをお送りください　
※階数が複数階に亘る場合は全ての階が必要
※複数棟にまたがる場合は全ての棟が分かる平面図</t>
    <rPh sb="20" eb="22">
      <t>カイスウ</t>
    </rPh>
    <rPh sb="23" eb="25">
      <t>フクスウ</t>
    </rPh>
    <rPh sb="25" eb="26">
      <t>カイ</t>
    </rPh>
    <rPh sb="27" eb="28">
      <t>ワタ</t>
    </rPh>
    <rPh sb="29" eb="31">
      <t>バアイ</t>
    </rPh>
    <rPh sb="32" eb="33">
      <t>スベ</t>
    </rPh>
    <rPh sb="35" eb="36">
      <t>カイ</t>
    </rPh>
    <rPh sb="37" eb="39">
      <t>ヒツヨウ</t>
    </rPh>
    <rPh sb="41" eb="43">
      <t>フクスウ</t>
    </rPh>
    <rPh sb="43" eb="44">
      <t>トウ</t>
    </rPh>
    <rPh sb="49" eb="51">
      <t>バアイ</t>
    </rPh>
    <rPh sb="52" eb="53">
      <t>スベ</t>
    </rPh>
    <rPh sb="55" eb="56">
      <t>トウ</t>
    </rPh>
    <rPh sb="57" eb="58">
      <t>ワ</t>
    </rPh>
    <rPh sb="60" eb="63">
      <t>ヘイメンズ</t>
    </rPh>
    <phoneticPr fontId="1"/>
  </si>
  <si>
    <t>敷地図（全体）</t>
    <rPh sb="0" eb="3">
      <t>シキチズ</t>
    </rPh>
    <rPh sb="4" eb="6">
      <t>ゼンタイ</t>
    </rPh>
    <phoneticPr fontId="1"/>
  </si>
  <si>
    <t>院内平面図（全体）</t>
    <rPh sb="2" eb="5">
      <t>ヘイメンズ</t>
    </rPh>
    <rPh sb="6" eb="8">
      <t>ゼンタイ</t>
    </rPh>
    <phoneticPr fontId="1"/>
  </si>
  <si>
    <t>医療機関の敷地全体が分かる図面</t>
    <rPh sb="0" eb="4">
      <t>イリョウキカン</t>
    </rPh>
    <rPh sb="5" eb="9">
      <t>シキチゼンタイ</t>
    </rPh>
    <rPh sb="10" eb="11">
      <t>ワ</t>
    </rPh>
    <rPh sb="13" eb="15">
      <t>ズメン</t>
    </rPh>
    <phoneticPr fontId="1"/>
  </si>
  <si>
    <r>
      <rPr>
        <sz val="11"/>
        <color rgb="FFFF0000"/>
        <rFont val="Yu Gothic"/>
        <family val="3"/>
        <charset val="128"/>
        <scheme val="minor"/>
      </rPr>
      <t>（新規開業の場合のみ）</t>
    </r>
    <r>
      <rPr>
        <sz val="11"/>
        <color theme="1"/>
        <rFont val="Yu Gothic"/>
        <family val="2"/>
        <scheme val="minor"/>
      </rPr>
      <t>診療所開設届</t>
    </r>
    <rPh sb="1" eb="3">
      <t>シンキ</t>
    </rPh>
    <rPh sb="3" eb="5">
      <t>カイギョウ</t>
    </rPh>
    <rPh sb="6" eb="8">
      <t>バアイ</t>
    </rPh>
    <rPh sb="11" eb="17">
      <t>シンリョウジョカイセツトドケ</t>
    </rPh>
    <phoneticPr fontId="1"/>
  </si>
  <si>
    <r>
      <rPr>
        <sz val="11"/>
        <color rgb="FFFF0000"/>
        <rFont val="Yu Gothic"/>
        <family val="3"/>
        <charset val="128"/>
        <scheme val="minor"/>
      </rPr>
      <t>（法人の場合)</t>
    </r>
    <r>
      <rPr>
        <sz val="11"/>
        <color theme="1"/>
        <rFont val="Yu Gothic"/>
        <family val="2"/>
        <scheme val="minor"/>
      </rPr>
      <t>履歴事項全部証明書又は現在事項証明書</t>
    </r>
    <rPh sb="4" eb="6">
      <t>バアイ</t>
    </rPh>
    <rPh sb="7" eb="16">
      <t>リレキジコウゼンブショウメイショ</t>
    </rPh>
    <rPh sb="16" eb="17">
      <t>マタ</t>
    </rPh>
    <rPh sb="18" eb="22">
      <t>ゲンザイジコウ</t>
    </rPh>
    <rPh sb="22" eb="25">
      <t>ショウメイショ</t>
    </rPh>
    <phoneticPr fontId="1"/>
  </si>
  <si>
    <t>取得には申請から1ヶ月程度かかります（連携先医療機関による）
※審査日までに必要</t>
    <rPh sb="0" eb="2">
      <t>シュトク</t>
    </rPh>
    <rPh sb="4" eb="6">
      <t>シンセイ</t>
    </rPh>
    <rPh sb="10" eb="11">
      <t>ゲツ</t>
    </rPh>
    <rPh sb="11" eb="13">
      <t>テイド</t>
    </rPh>
    <rPh sb="19" eb="22">
      <t>レンケイサキ</t>
    </rPh>
    <rPh sb="22" eb="26">
      <t>イリョウキカン</t>
    </rPh>
    <rPh sb="32" eb="35">
      <t>シンサビ</t>
    </rPh>
    <rPh sb="38" eb="40">
      <t>ヒツヨウ</t>
    </rPh>
    <phoneticPr fontId="1"/>
  </si>
  <si>
    <r>
      <rPr>
        <b/>
        <sz val="11"/>
        <color theme="1"/>
        <rFont val="Yu Gothic"/>
        <family val="3"/>
        <charset val="128"/>
        <scheme val="minor"/>
      </rPr>
      <t>審査委員会</t>
    </r>
    <r>
      <rPr>
        <sz val="11"/>
        <color theme="1"/>
        <rFont val="Yu Gothic"/>
        <family val="2"/>
        <scheme val="minor"/>
      </rPr>
      <t>との契約書（/申込書）　</t>
    </r>
    <rPh sb="0" eb="2">
      <t>シンサ</t>
    </rPh>
    <rPh sb="2" eb="5">
      <t>イインカイ</t>
    </rPh>
    <rPh sb="7" eb="10">
      <t>ケイヤクショ</t>
    </rPh>
    <rPh sb="12" eb="15">
      <t>モウシコミショ</t>
    </rPh>
    <phoneticPr fontId="1"/>
  </si>
  <si>
    <r>
      <rPr>
        <b/>
        <sz val="11"/>
        <color theme="1"/>
        <rFont val="Yu Gothic"/>
        <family val="3"/>
        <charset val="128"/>
        <scheme val="minor"/>
      </rPr>
      <t>グローアップコンサルティング事務所</t>
    </r>
    <r>
      <rPr>
        <sz val="11"/>
        <color theme="1"/>
        <rFont val="Yu Gothic"/>
        <family val="2"/>
        <scheme val="minor"/>
      </rPr>
      <t>との</t>
    </r>
    <r>
      <rPr>
        <b/>
        <sz val="11"/>
        <color theme="1"/>
        <rFont val="Yu Gothic"/>
        <family val="3"/>
        <charset val="128"/>
        <scheme val="minor"/>
      </rPr>
      <t>契約書/ 発注書</t>
    </r>
    <rPh sb="19" eb="22">
      <t>ケイヤクショ</t>
    </rPh>
    <rPh sb="24" eb="27">
      <t>ハッチュウショ</t>
    </rPh>
    <phoneticPr fontId="1"/>
  </si>
  <si>
    <r>
      <rPr>
        <b/>
        <sz val="11"/>
        <color theme="1"/>
        <rFont val="Yu Gothic"/>
        <family val="3"/>
        <charset val="128"/>
        <scheme val="minor"/>
      </rPr>
      <t>行政書士</t>
    </r>
    <r>
      <rPr>
        <sz val="11"/>
        <color theme="1"/>
        <rFont val="Yu Gothic"/>
        <family val="2"/>
        <scheme val="minor"/>
      </rPr>
      <t>（作成・申請代行業務）との</t>
    </r>
    <r>
      <rPr>
        <b/>
        <sz val="11"/>
        <color theme="1"/>
        <rFont val="Yu Gothic"/>
        <family val="3"/>
        <charset val="128"/>
        <scheme val="minor"/>
      </rPr>
      <t>委任状</t>
    </r>
    <r>
      <rPr>
        <sz val="11"/>
        <color theme="1"/>
        <rFont val="Yu Gothic"/>
        <family val="3"/>
        <charset val="128"/>
        <scheme val="minor"/>
      </rPr>
      <t>(契約書/発注書)</t>
    </r>
    <rPh sb="0" eb="4">
      <t>ギョウセイショシ</t>
    </rPh>
    <rPh sb="5" eb="7">
      <t>サクセイ</t>
    </rPh>
    <rPh sb="8" eb="10">
      <t>シンセイ</t>
    </rPh>
    <rPh sb="10" eb="12">
      <t>ダイコウ</t>
    </rPh>
    <rPh sb="12" eb="14">
      <t>ギョウム</t>
    </rPh>
    <rPh sb="17" eb="20">
      <t>イニンジョウ</t>
    </rPh>
    <phoneticPr fontId="1"/>
  </si>
  <si>
    <t>人員・診療時間等</t>
    <rPh sb="0" eb="2">
      <t>ジンイン</t>
    </rPh>
    <rPh sb="3" eb="8">
      <t>シンリョウジカントウ</t>
    </rPh>
    <phoneticPr fontId="1"/>
  </si>
  <si>
    <t>患者からの問い合わせ先</t>
    <rPh sb="0" eb="2">
      <t>カンジャ</t>
    </rPh>
    <rPh sb="10" eb="11">
      <t>サキ</t>
    </rPh>
    <phoneticPr fontId="1"/>
  </si>
  <si>
    <t>■お問合せ先（再生医療等相談窓口）
連絡先：〇〇クリニック　担当窓口
住所：
電話番号：〇〇-〇〇〇〇-〇〇〇〇
（診療時間外：090-〇〇〇〇-〇〇〇〇）
担当：担当医師
受付時間：〇-〇曜〇:〇-〇:〇、〇:〇-〇:〇
休診日：〇曜午後、〇曜、祝日
※万一、診療時間外に重篤な症状が出た場合は救急車要請等をご考慮ください。</t>
    <rPh sb="58" eb="63">
      <t>シンリョウジカンガイ</t>
    </rPh>
    <phoneticPr fontId="1"/>
  </si>
  <si>
    <t>細胞採取の方法</t>
    <rPh sb="0" eb="4">
      <t>サイボウサイシュ</t>
    </rPh>
    <rPh sb="5" eb="7">
      <t>ホウホウ</t>
    </rPh>
    <phoneticPr fontId="1"/>
  </si>
  <si>
    <t>細胞の加工の方法</t>
    <rPh sb="0" eb="2">
      <t>サイボウ</t>
    </rPh>
    <rPh sb="3" eb="5">
      <t>カコウ</t>
    </rPh>
    <rPh sb="6" eb="8">
      <t>ホウホウ</t>
    </rPh>
    <phoneticPr fontId="1"/>
  </si>
  <si>
    <r>
      <t>■Mycells PRPキット（製造販売：ディーマー・メディカル・ジャパン株式会社、販売：株式会社ベリタス）
採取方法：Mycells PRPキットのスピッツ（ゲルセパレーター内包の採血管）に、翼状針付採血ホルダーを使用し、患者から約</t>
    </r>
    <r>
      <rPr>
        <sz val="11"/>
        <color rgb="FFFF0000"/>
        <rFont val="Yu Gothic"/>
        <family val="3"/>
        <charset val="128"/>
        <scheme val="minor"/>
      </rPr>
      <t>22mL</t>
    </r>
    <r>
      <rPr>
        <sz val="11"/>
        <color theme="1"/>
        <rFont val="Yu Gothic"/>
        <family val="2"/>
        <scheme val="minor"/>
      </rPr>
      <t>の静脈血を直接採取する。スピッツにはゲルセパレーターが予め内包されており、採血のみで次工程の準備が完了する。1回遠心でLP-PRP（Leukocyte-poor PRP：赤血球・好中球を含まない）を調製するシンプルな設計となっている。</t>
    </r>
    <phoneticPr fontId="1"/>
  </si>
  <si>
    <r>
      <t>■Mycells PRPキット（製造販売：ディーマー・メディカル・ジャパン株式会社、販売：株式会社ベリタス）
採取方法：Mycells PRPキットのスピッツ（ゲルセパレーター内包の採血管）に、翼状針付採血ホルダーを使用し、患者から約</t>
    </r>
    <r>
      <rPr>
        <sz val="11"/>
        <color rgb="FFFF0000"/>
        <rFont val="Yu Gothic"/>
        <family val="3"/>
        <charset val="128"/>
        <scheme val="minor"/>
      </rPr>
      <t>11mL</t>
    </r>
    <r>
      <rPr>
        <sz val="11"/>
        <color theme="1"/>
        <rFont val="Yu Gothic"/>
        <family val="2"/>
        <scheme val="minor"/>
      </rPr>
      <t>の静脈血を直接採取する。スピッツにはゲルセパレーターが予め内包されており、採血のみで次工程の準備が完了する。1回遠心でLP-PRP（Leukocyte-poor PRP：赤血球・好中球を含まない）を調製するシンプルな設計となっている。</t>
    </r>
    <phoneticPr fontId="1"/>
  </si>
  <si>
    <r>
      <t>■Condensia PRP調製キット（製造販売：京セラメディカル株式会社）
採取方法：採血前に、採血容器＋薬剤採取針を用いて抗凝固剤（別途準備）を採血量に応じて採取する。次に採血容器の薬剤採取針を採血針（21G）に付け替え、患者から静脈血を</t>
    </r>
    <r>
      <rPr>
        <sz val="11"/>
        <color rgb="FFFF0000"/>
        <rFont val="Yu Gothic"/>
        <family val="3"/>
        <charset val="128"/>
        <scheme val="minor"/>
      </rPr>
      <t>最大20mL</t>
    </r>
    <r>
      <rPr>
        <sz val="11"/>
        <color theme="1"/>
        <rFont val="Yu Gothic"/>
        <family val="2"/>
        <scheme val="minor"/>
      </rPr>
      <t>採取する。採取後、採血針を取り外してシーリングキャップを装着し、プランジャーを反時計回りに回して取り外す。採血量・白血球量の調整方針（Recipe AまたはB）を事前に決定しておく必要がある。</t>
    </r>
    <phoneticPr fontId="1"/>
  </si>
  <si>
    <t>■Condensia PRP調製キット
採血容器をアダプタに投入し、遠心分離機にセット。600×g・7分間（自然減速開始点500rpm）遠心し、赤血球層と血漿層に分離。
ニードルガイド20mL（黄）を採血容器のガスケット上にセットし、分離容器の連通針20Gを通す。ニードルガイドを反時計回りに回転し、針先がガスケットを貫通したことを確認。
連結した分離容器と採血容器を立てたまま分離容器を押し下げ、血漿層を分離容器に回収。白血球量の調整ポイント：Recipe Aは赤血球層との界面より上2mLを残す、Recipe Bは界面まで回収する。
分離容器から連通針20Gを外しシーリングキャップを装着。プランジャーを取り外す。
分離容器をアダプタに投入し、2,000×g・5分間で遠心。PRP層とPPP層に分離。
ニードルガイド10mL（桃）を分離容器のガスケット上にセットし、回収容器の連通針22Gを通す。回収容器を押し下げてPPP層を回収し、分離容器にPRP層のみを残して調製完了。</t>
    <phoneticPr fontId="1"/>
  </si>
  <si>
    <t>■ Mycells PRPキット
本キットは全工程で清潔操作に留意することが義務付けられている。
血液採取後のスピッツを遠心分離機にセットし、2,000g×7分間遠心分離する。スピッツを1本のみ使用する場合は、対立位置に必ずバランサー（スピッツに血液と同量の水を入れたもの）を置く。
遠心分離後、スピッツ内が赤血球層・ゲルセパレーター層・血漿層（PRP層）の3層に分離していることを目視で確認する。ゲルセパレーターが赤血球と血漿を自動的に分画する。
上層の血漿層（PRP）を清潔操作のもと注入用シリンジへ吸引する。
吸引したPRPを患者に投与する（採血後速やかに使用）。</t>
    <phoneticPr fontId="1"/>
  </si>
  <si>
    <t>細胞加工施設の情報</t>
    <rPh sb="0" eb="6">
      <t>サイボウカコウシセツ</t>
    </rPh>
    <rPh sb="7" eb="9">
      <t>ジョウホウ</t>
    </rPh>
    <phoneticPr fontId="1"/>
  </si>
  <si>
    <t>特定細胞加工物製造事業者の名称</t>
    <phoneticPr fontId="1"/>
  </si>
  <si>
    <t>施設番号</t>
    <phoneticPr fontId="1"/>
  </si>
  <si>
    <t>細胞培養加工施設の名称</t>
    <rPh sb="0" eb="2">
      <t>サイボウ</t>
    </rPh>
    <rPh sb="2" eb="4">
      <t>バイヨウ</t>
    </rPh>
    <rPh sb="4" eb="6">
      <t>カコウ</t>
    </rPh>
    <rPh sb="6" eb="8">
      <t>シセツ</t>
    </rPh>
    <rPh sb="9" eb="11">
      <t>メイショウ</t>
    </rPh>
    <phoneticPr fontId="1"/>
  </si>
  <si>
    <r>
      <rPr>
        <sz val="11"/>
        <color rgb="FFFF0000"/>
        <rFont val="Yu Gothic"/>
        <family val="3"/>
        <charset val="128"/>
        <scheme val="minor"/>
      </rPr>
      <t>（開業の場合）</t>
    </r>
    <r>
      <rPr>
        <sz val="11"/>
        <color theme="1"/>
        <rFont val="Yu Gothic"/>
        <family val="2"/>
        <scheme val="minor"/>
      </rPr>
      <t>開業コンサル会社
※開設日、開業前の各種スケジュール等の確認等でご連絡する場合あり。</t>
    </r>
    <rPh sb="1" eb="3">
      <t>カイギョウ</t>
    </rPh>
    <rPh sb="4" eb="6">
      <t>バアイ</t>
    </rPh>
    <rPh sb="7" eb="9">
      <t>カイギョウ</t>
    </rPh>
    <rPh sb="13" eb="15">
      <t>カイシャ</t>
    </rPh>
    <rPh sb="17" eb="19">
      <t>カイセツ</t>
    </rPh>
    <rPh sb="19" eb="20">
      <t>ビ</t>
    </rPh>
    <rPh sb="21" eb="23">
      <t>カイギョウ</t>
    </rPh>
    <rPh sb="23" eb="24">
      <t>マエ</t>
    </rPh>
    <rPh sb="25" eb="27">
      <t>カクシュ</t>
    </rPh>
    <rPh sb="33" eb="34">
      <t>ナド</t>
    </rPh>
    <rPh sb="35" eb="37">
      <t>カクニン</t>
    </rPh>
    <rPh sb="37" eb="38">
      <t>トウ</t>
    </rPh>
    <rPh sb="40" eb="42">
      <t>レンラク</t>
    </rPh>
    <rPh sb="44" eb="46">
      <t>バアイ</t>
    </rPh>
    <phoneticPr fontId="1"/>
  </si>
  <si>
    <t>治療価格の設定</t>
    <rPh sb="0" eb="4">
      <t>チリョウカカク</t>
    </rPh>
    <rPh sb="5" eb="7">
      <t>セッテイ</t>
    </rPh>
    <phoneticPr fontId="1"/>
  </si>
  <si>
    <t>審査委員会情報</t>
    <rPh sb="0" eb="5">
      <t>シンサイインカイ</t>
    </rPh>
    <rPh sb="5" eb="7">
      <t>ジョウホウ</t>
    </rPh>
    <phoneticPr fontId="1"/>
  </si>
  <si>
    <t>認定再生医療等委員会の名称</t>
  </si>
  <si>
    <r>
      <rPr>
        <sz val="11"/>
        <rFont val="ＭＳ 明朝"/>
        <family val="1"/>
        <charset val="128"/>
      </rPr>
      <t>認定再生医療等委員会の認定番号</t>
    </r>
    <rPh sb="11" eb="13">
      <t>ニンテイ</t>
    </rPh>
    <rPh sb="13" eb="15">
      <t>バンゴウ</t>
    </rPh>
    <rPh sb="14" eb="15">
      <t>セイバン</t>
    </rPh>
    <phoneticPr fontId="3"/>
  </si>
  <si>
    <t>NA8230002</t>
  </si>
  <si>
    <t>審査委員会</t>
  </si>
  <si>
    <t>認定番号</t>
  </si>
  <si>
    <t>CONCIDE特定認定再生医療等委員会</t>
  </si>
  <si>
    <t>安全未来特定認定再生医療等委員会</t>
  </si>
  <si>
    <t>MTFG特定認定再生医療等委員会</t>
  </si>
  <si>
    <t>日本肌再生医学会特定認定再生医療等委員会</t>
  </si>
  <si>
    <t>医療法人清悠会認定再生医療等委員会</t>
  </si>
  <si>
    <t>CONCIDE認定再生医療等委員会</t>
  </si>
  <si>
    <t>日本先進医療医師会再生医療等委員会</t>
  </si>
  <si>
    <t>日本先進医療医師会特定認定再生医療等委員会</t>
  </si>
  <si>
    <t>再生医療普及協会特定認定再生医療等委員会</t>
  </si>
  <si>
    <t>NA8160003</t>
  </si>
  <si>
    <t>JSCF再生医療等委員会</t>
  </si>
  <si>
    <t>NB3160004</t>
  </si>
  <si>
    <t>NA8230008</t>
  </si>
  <si>
    <t>NA8160006</t>
  </si>
  <si>
    <t>NA8150019</t>
  </si>
  <si>
    <t>NB3200007</t>
  </si>
  <si>
    <t>NA8160013</t>
  </si>
  <si>
    <t>別途ご郵送申し上げますので、ご捺印の上、ご返信ください。</t>
    <rPh sb="0" eb="2">
      <t>ベット</t>
    </rPh>
    <rPh sb="3" eb="5">
      <t>ユウソウ</t>
    </rPh>
    <rPh sb="5" eb="6">
      <t>モウ</t>
    </rPh>
    <rPh sb="7" eb="8">
      <t>ア</t>
    </rPh>
    <rPh sb="15" eb="17">
      <t>ナツイン</t>
    </rPh>
    <rPh sb="18" eb="19">
      <t>ウエ</t>
    </rPh>
    <rPh sb="21" eb="23">
      <t>ヘンシン</t>
    </rPh>
    <phoneticPr fontId="1"/>
  </si>
  <si>
    <t>以下、申請サポート業者の作業用欄</t>
    <rPh sb="0" eb="2">
      <t>イカ</t>
    </rPh>
    <rPh sb="3" eb="5">
      <t>シンセイ</t>
    </rPh>
    <rPh sb="9" eb="11">
      <t>ギョウシャ</t>
    </rPh>
    <rPh sb="12" eb="15">
      <t>サギョウヨウ</t>
    </rPh>
    <rPh sb="15" eb="16">
      <t>ラン</t>
    </rPh>
    <phoneticPr fontId="1"/>
  </si>
  <si>
    <r>
      <t>採血場所　</t>
    </r>
    <r>
      <rPr>
        <sz val="11"/>
        <color rgb="FFFF0000"/>
        <rFont val="Yu Gothic"/>
        <family val="3"/>
        <charset val="128"/>
        <scheme val="minor"/>
      </rPr>
      <t>※通常：診察室又は処置室</t>
    </r>
    <rPh sb="0" eb="2">
      <t>サイケツ</t>
    </rPh>
    <rPh sb="2" eb="4">
      <t>バショ</t>
    </rPh>
    <rPh sb="6" eb="8">
      <t>ツウジョウ</t>
    </rPh>
    <rPh sb="9" eb="12">
      <t>シンサツシツ</t>
    </rPh>
    <rPh sb="12" eb="13">
      <t>マタ</t>
    </rPh>
    <rPh sb="14" eb="17">
      <t>ショチシツ</t>
    </rPh>
    <phoneticPr fontId="1"/>
  </si>
  <si>
    <r>
      <t>PRP投与の場所　</t>
    </r>
    <r>
      <rPr>
        <sz val="11"/>
        <color rgb="FFFF0000"/>
        <rFont val="Yu Gothic"/>
        <family val="3"/>
        <charset val="128"/>
        <scheme val="minor"/>
      </rPr>
      <t>※通常：診察室又は処置室</t>
    </r>
    <rPh sb="3" eb="5">
      <t>トウヨ</t>
    </rPh>
    <rPh sb="6" eb="8">
      <t>バショ</t>
    </rPh>
    <phoneticPr fontId="1"/>
  </si>
  <si>
    <r>
      <t xml:space="preserve">PRP製造場所（細胞培養加工施設として届出するお部屋）
</t>
    </r>
    <r>
      <rPr>
        <sz val="11"/>
        <color rgb="FFFF0000"/>
        <rFont val="Yu Gothic"/>
        <family val="3"/>
        <charset val="128"/>
        <scheme val="minor"/>
      </rPr>
      <t>※区画として区切られた部屋（カーテン等は原則不可）
※通常：処置室が多い</t>
    </r>
    <rPh sb="3" eb="7">
      <t>セイゾウバショ</t>
    </rPh>
    <rPh sb="8" eb="16">
      <t>サイボウバイヨウカコウシセツ</t>
    </rPh>
    <rPh sb="19" eb="21">
      <t>トドケデ</t>
    </rPh>
    <rPh sb="24" eb="26">
      <t>ヘヤ</t>
    </rPh>
    <rPh sb="29" eb="31">
      <t>クカク</t>
    </rPh>
    <rPh sb="34" eb="36">
      <t>クギ</t>
    </rPh>
    <rPh sb="39" eb="41">
      <t>ヘヤ</t>
    </rPh>
    <rPh sb="46" eb="47">
      <t>トウ</t>
    </rPh>
    <rPh sb="48" eb="50">
      <t>ゲンソク</t>
    </rPh>
    <rPh sb="50" eb="52">
      <t>フカ</t>
    </rPh>
    <rPh sb="55" eb="57">
      <t>ツウジョウ</t>
    </rPh>
    <rPh sb="58" eb="61">
      <t>ショチシツ</t>
    </rPh>
    <rPh sb="62" eb="63">
      <t>オオ</t>
    </rPh>
    <phoneticPr fontId="1"/>
  </si>
  <si>
    <t>施設番号</t>
    <rPh sb="0" eb="4">
      <t>シセツバンゴウ</t>
    </rPh>
    <phoneticPr fontId="1"/>
  </si>
  <si>
    <t>←施設番号</t>
    <rPh sb="1" eb="5">
      <t>シセツバンゴウ</t>
    </rPh>
    <phoneticPr fontId="1"/>
  </si>
  <si>
    <t>正式施設名称</t>
    <rPh sb="0" eb="2">
      <t>セイシキ</t>
    </rPh>
    <rPh sb="2" eb="6">
      <t>シセツメイショウ</t>
    </rPh>
    <phoneticPr fontId="1"/>
  </si>
  <si>
    <t>※2施設あるため注意</t>
    <rPh sb="2" eb="4">
      <t>シセツ</t>
    </rPh>
    <rPh sb="8" eb="10">
      <t>チュウイ</t>
    </rPh>
    <phoneticPr fontId="1"/>
  </si>
  <si>
    <t>2.再生医療に関する事項</t>
    <rPh sb="2" eb="6">
      <t>サイセイイリョウ</t>
    </rPh>
    <rPh sb="7" eb="8">
      <t>カン</t>
    </rPh>
    <rPh sb="10" eb="12">
      <t>ジコウ</t>
    </rPh>
    <phoneticPr fontId="1"/>
  </si>
  <si>
    <t>1.医療機関の基本情報</t>
    <rPh sb="2" eb="6">
      <t>イリョウキカン</t>
    </rPh>
    <rPh sb="7" eb="11">
      <t>キホンジョウホウ</t>
    </rPh>
    <phoneticPr fontId="1"/>
  </si>
  <si>
    <t>【幹細胞治療の場合】</t>
    <rPh sb="1" eb="6">
      <t>カンサイボウチリョウ</t>
    </rPh>
    <rPh sb="7" eb="9">
      <t>バアイ</t>
    </rPh>
    <phoneticPr fontId="1"/>
  </si>
  <si>
    <r>
      <t>【1回当たりのPRP治療費</t>
    </r>
    <r>
      <rPr>
        <sz val="11"/>
        <color rgb="FFFF0000"/>
        <rFont val="Yu Gothic"/>
        <family val="3"/>
        <charset val="128"/>
        <scheme val="minor"/>
      </rPr>
      <t>（税別）</t>
    </r>
    <r>
      <rPr>
        <sz val="11"/>
        <color theme="1"/>
        <rFont val="Yu Gothic"/>
        <family val="2"/>
        <scheme val="minor"/>
      </rPr>
      <t>】
〇〇キットを用いた治療：〇〇〇円</t>
    </r>
    <rPh sb="25" eb="26">
      <t>モチ</t>
    </rPh>
    <phoneticPr fontId="1"/>
  </si>
  <si>
    <t>PRP治療①</t>
    <rPh sb="3" eb="5">
      <t>チリョウ</t>
    </rPh>
    <phoneticPr fontId="1"/>
  </si>
  <si>
    <t>上記治療費の設定（税別）</t>
    <rPh sb="0" eb="2">
      <t>ジョウキ</t>
    </rPh>
    <rPh sb="2" eb="5">
      <t>チリョウヒ</t>
    </rPh>
    <rPh sb="6" eb="8">
      <t>セッテイ</t>
    </rPh>
    <rPh sb="9" eb="11">
      <t>ゼイベツ</t>
    </rPh>
    <phoneticPr fontId="1"/>
  </si>
  <si>
    <t>PRPと幹細胞はソート自体を分ける</t>
    <rPh sb="4" eb="7">
      <t>カンサイボウ</t>
    </rPh>
    <rPh sb="11" eb="13">
      <t>ジタイ</t>
    </rPh>
    <rPh sb="14" eb="15">
      <t>ワ</t>
    </rPh>
    <phoneticPr fontId="1"/>
  </si>
  <si>
    <t>カウンセリング費：〇〇円
血液検査費：〇〇円
1億cell：〇〇円/回
2億cell：〇〇円/回</t>
    <rPh sb="24" eb="25">
      <t>オク</t>
    </rPh>
    <rPh sb="32" eb="33">
      <t>エン</t>
    </rPh>
    <rPh sb="34" eb="35">
      <t>カイ</t>
    </rPh>
    <rPh sb="37" eb="42">
      <t>オクセル</t>
    </rPh>
    <rPh sb="45" eb="46">
      <t>エン</t>
    </rPh>
    <rPh sb="47" eb="48">
      <t>カイ</t>
    </rPh>
    <phoneticPr fontId="1"/>
  </si>
  <si>
    <t>〇〇円/回　</t>
    <rPh sb="2" eb="3">
      <t>エン</t>
    </rPh>
    <rPh sb="4" eb="5">
      <t>カイ</t>
    </rPh>
    <phoneticPr fontId="1"/>
  </si>
  <si>
    <t>再生医療を行う医師の氏名</t>
    <rPh sb="5" eb="6">
      <t>オコナ</t>
    </rPh>
    <rPh sb="7" eb="9">
      <t>イシ</t>
    </rPh>
    <rPh sb="10" eb="12">
      <t>シメイ</t>
    </rPh>
    <phoneticPr fontId="1"/>
  </si>
  <si>
    <t>山田 太郎</t>
    <rPh sb="0" eb="5">
      <t>ヤマダ</t>
    </rPh>
    <phoneticPr fontId="1"/>
  </si>
  <si>
    <t>〇〇 〇〇</t>
    <phoneticPr fontId="1"/>
  </si>
  <si>
    <r>
      <t>再生医療を行う医師</t>
    </r>
    <r>
      <rPr>
        <sz val="11"/>
        <color rgb="FFFF0000"/>
        <rFont val="Yu Gothic"/>
        <family val="3"/>
        <charset val="128"/>
        <scheme val="minor"/>
      </rPr>
      <t>（行が足りない場合は増やしてください）</t>
    </r>
    <rPh sb="5" eb="6">
      <t>オコナ</t>
    </rPh>
    <rPh sb="7" eb="9">
      <t>イシ</t>
    </rPh>
    <rPh sb="10" eb="11">
      <t>ギョウ</t>
    </rPh>
    <rPh sb="12" eb="13">
      <t>タ</t>
    </rPh>
    <rPh sb="16" eb="18">
      <t>バアイ</t>
    </rPh>
    <rPh sb="19" eb="20">
      <t>フ</t>
    </rPh>
    <phoneticPr fontId="1"/>
  </si>
  <si>
    <t>3.ご準備頂きたい資料等について</t>
    <rPh sb="3" eb="5">
      <t>ジュンビ</t>
    </rPh>
    <rPh sb="5" eb="6">
      <t>イタダ</t>
    </rPh>
    <rPh sb="9" eb="11">
      <t>シリョウ</t>
    </rPh>
    <rPh sb="11" eb="12">
      <t>トウ</t>
    </rPh>
    <phoneticPr fontId="1"/>
  </si>
  <si>
    <t>4.ご捺印が必要な書類について</t>
    <rPh sb="3" eb="5">
      <t>ナツイン</t>
    </rPh>
    <rPh sb="6" eb="8">
      <t>ヒツヨウ</t>
    </rPh>
    <rPh sb="9" eb="11">
      <t>ショルイ</t>
    </rPh>
    <phoneticPr fontId="1"/>
  </si>
  <si>
    <t>認定再生医療等委員会の住所</t>
    <rPh sb="11" eb="13">
      <t>ジュウショ</t>
    </rPh>
    <phoneticPr fontId="1"/>
  </si>
  <si>
    <t>認定再生医療等委員会の連絡先名称</t>
    <rPh sb="11" eb="14">
      <t>レンラクサキ</t>
    </rPh>
    <rPh sb="14" eb="16">
      <t>メイショウ</t>
    </rPh>
    <phoneticPr fontId="1"/>
  </si>
  <si>
    <t>認定再生医療等委員会の連絡先TEL</t>
    <rPh sb="11" eb="14">
      <t>レンラクサキ</t>
    </rPh>
    <phoneticPr fontId="1"/>
  </si>
  <si>
    <t>認定再生医療等委員会の連絡先メールアドレス</t>
    <rPh sb="11" eb="14">
      <t>レンラクサキ</t>
    </rPh>
    <phoneticPr fontId="1"/>
  </si>
  <si>
    <t>受付番号</t>
    <rPh sb="0" eb="4">
      <t>ウケツケバンゴウ</t>
    </rPh>
    <phoneticPr fontId="1"/>
  </si>
  <si>
    <t>受付番号・パスワード</t>
    <rPh sb="0" eb="4">
      <t>ウケツケバンゴウ</t>
    </rPh>
    <phoneticPr fontId="1"/>
  </si>
  <si>
    <t>パスワード</t>
    <phoneticPr fontId="3"/>
  </si>
  <si>
    <t>■Arthrex ACPダブルシリンジ システム（Arthrex Japan 合同会社）
1） 工程を進める前にプランジャー大小両方を引き、上げ下げして、スムーズに動くように準備する。注射針※を先端に取り付け、プランジャー大を引き、ACD-A液を約1.5 mL入れる。血液の採取から30分以内に多血小板血漿を患部に投与する場合、ACD-A液は不要である。 
2） 患者に注射針※を穿刺して、プランジャー大（赤色のウィング）をゆっくりと（2秒毎に1 mLの速度）引き、15 mL (最大16 mL)まで血液を採取する。注射針（※19ゲージの翼状針の使用を推奨)を取り除き、キャップで密封する。</t>
    <phoneticPr fontId="1"/>
  </si>
  <si>
    <t>■ACP MAX PRP システム (Arthrex Japan 合同会社)
1） ACP MAX シリンジにルアーキャップを取り付ける。 
2） ACD-A液を入れた注射筒（又は30 mLシリンジ）に血液を採取する。血液量に対するACD-A液量については、以下参照。
【血液量に対するACD-A 液総量】
30ml採血の場合/ACD-A液4ml
60ml採血の場合/ACD-A液8ml
90ml採血の場合/ACD-A液12ml
3） ACP MAX シリンジに採取したACD-A 液を含む血液を入れる。
4） 注射筒を外し、サポートゲージを取り外す</t>
    <phoneticPr fontId="1"/>
  </si>
  <si>
    <t>■Arthrex ACPダブルシリンジ システム
採取した血液をACPダブルシリンジ内で遠心分離（約1500rpm、約5分）し、血漿層と赤血球層に分離する。外側シリンジから内側シリンジへ上清のPRP（約4〜7mL）を移送し抽出する。操作はシリンジ内で完結する。</t>
    <phoneticPr fontId="1"/>
  </si>
  <si>
    <t>■ACP MAX PRP システム
採取血液を遠心分離（血液量により3200rpmを3-9分）し、上清のPPPを除去後、PRP層をACPダブルシリンジへ移送する。さらに1500rpmで約5分遠心し、内側シリンジにPRPを回収する。なお、シリンジ間の接続、移送および回収操作はクリーンベンチ内にて行う。
（血液量と1回目の遠心分離機回転速度）
血液30mlの場合/3200rpmで3分
血液60mlの場合/3200rpmで6分
血液90mlの場合/3200rpmで9分</t>
    <phoneticPr fontId="1"/>
  </si>
  <si>
    <t>■ジンマーバイオメット社 GPSⅢ
遠心分離（約3200rpm、約15分）により血液成分を分離し、上清PPPを除去後、残存する白血球含有PRP（L-PRP）を吸引回収する。遠心バランス調整および混入防止に留意して操作する。なお、キャップ開閉および吸引操作はクリーンベンチ内にて行う。</t>
    <phoneticPr fontId="1"/>
  </si>
  <si>
    <t>■ジンマーバイオメット社 APSキット
遠心分離（約3200rpm、約15分）により細胞溶液を分離後、濃縮チューブに移し、ポリアクリルアミドビーズを用いた吸水濃縮と再遠心（約2000rpm、約2分）を行う。最終的に約2〜3mLを回収する。なお、チューブ間の移送および吸引操作はクリーンベンチ内にて行う。</t>
    <phoneticPr fontId="1"/>
  </si>
  <si>
    <t>■GPS III L-PRP分離・抽出キット（製造販売：ジンマーバイオメット合同会社）
1. 採血 
注射針をシリンジに取り付け、ACD-A液を吸引する。 
患者から血液を採取し、穏やかに混和する。 
スタンダードチューブの場合：60mLシリンジにACD-A液8mLを吸引し、血液52mLを採取する。 
ミニチューブの場合：30mLシリンジにACD-A液4mLを吸引し、血液26mL を採取する。
2. 血液の注入 
遠心分離用チューブのスレッドキャップを回す。 
スレッドキャップ及びパッシングポストを取り外し、無菌操作下で採取した全血をゆっくりと注入する。 シリンジチップを外し、白色キャップを回して栓をする。</t>
    <phoneticPr fontId="1"/>
  </si>
  <si>
    <t>■APSキット(製造販売：ジンマーバイオメット合同会社)　
1. 採血 
注射針をシリンジに取り付け、ACD-A液を吸引する。 
患者から血液を採取し、穏やかに混和する。 
60mLシリンジにACD-A液5mLを吸引し、血液55mLを採取する。 
2. 血液の注入 
APS細胞分離チューブのスレッドキャップを回す。 
スレッドキャップ及びパッシングポストを取り外し、無菌操作下で採取した全血をゆっくりと注入する。 シリンジチップを外し、透明キャップを回して栓をする。</t>
    <phoneticPr fontId="1"/>
  </si>
  <si>
    <t>Y-PRP SYSTEM（ワイセルバイオ）</t>
    <phoneticPr fontId="1"/>
  </si>
  <si>
    <t>■Y-PRP SYSTEM(Ycellbio Medical Co.Ltd)
採取血液を専用チューブに移し、遠心分離（約3400rpm、約4分等）を行い血液成分を分離する。バフィーコート層を確認しながら上層のPRPを抽出する。</t>
    <phoneticPr fontId="1"/>
  </si>
  <si>
    <t>■Y-PRP SYSTEM(Ycellbio Medical Co.Ltd) 
抗凝固剤（ACD液）1.5mlを20mlシリンジに移す。
18G針を外し、空気を抜き翼状針に接続する。
15mlまで血液を採取する。</t>
    <phoneticPr fontId="1"/>
  </si>
  <si>
    <t>■Tricell PRP(REV-MED Inc）
1.30mlシリンジに血液30mlを採血する。
2.ACD-A液を3mlをシリンジに加える。
3.フィルター付通気口のキャップを一時的に外し、注入口より若干の角度を付けゆっくり血液を注入する。</t>
    <phoneticPr fontId="1"/>
  </si>
  <si>
    <t>■Tricell PRP(REV-MED Inc）
採取血液をキット内に充填し、遠心分離（約3200rpm、約4分及び追加遠心）により血漿、白血球層及び赤血球層に分離する。分離後、チャンバー操作によりPRP層を分離し回収する。</t>
    <phoneticPr fontId="1"/>
  </si>
  <si>
    <t>Tricell PRP</t>
    <phoneticPr fontId="1"/>
  </si>
  <si>
    <t>FC1234567</t>
    <phoneticPr fontId="1"/>
  </si>
  <si>
    <t>やまだ整形外科クリニック　細胞加工室</t>
    <rPh sb="13" eb="18">
      <t>サイボウカコウシツ</t>
    </rPh>
    <phoneticPr fontId="1"/>
  </si>
  <si>
    <t>01X1234567</t>
    <phoneticPr fontId="1"/>
  </si>
  <si>
    <t>abcdefghi</t>
    <phoneticPr fontId="1"/>
  </si>
  <si>
    <t>連絡先名</t>
  </si>
  <si>
    <t>住所</t>
  </si>
  <si>
    <t>TEL</t>
  </si>
  <si>
    <t>メールアドレス</t>
  </si>
  <si>
    <t>JSCSF再生医療等委員会事務局</t>
  </si>
  <si>
    <t>03-5542-1597</t>
  </si>
  <si>
    <t>mail@jscsf.net</t>
  </si>
  <si>
    <t>一般社団法人日本保健情報コンソシウム</t>
  </si>
  <si>
    <t>東京都千代田区二番町11-3 相互二番町ビルディング別館7階</t>
  </si>
  <si>
    <t>03-5772-7584</t>
  </si>
  <si>
    <t>モティーフ銀座クリニック内</t>
  </si>
  <si>
    <t>0270-21-3111</t>
  </si>
  <si>
    <t>yauchi240701@gmail.com</t>
  </si>
  <si>
    <t>052-891-2527</t>
  </si>
  <si>
    <t>044-281-6600</t>
  </si>
  <si>
    <t>日本肌再生医学会特定認定再生医療等委員会 苦情・問合せ窓口</t>
  </si>
  <si>
    <t>03-5326-3129</t>
  </si>
  <si>
    <t>info@jssrm.com</t>
  </si>
  <si>
    <t>日本先進医療医師会 特定認定再生医療等委員会</t>
  </si>
  <si>
    <t>03-6433-0845</t>
  </si>
  <si>
    <t>一般社団法人再生医療普及協会事務局</t>
  </si>
  <si>
    <t>東京都中央区勝どき一丁目13番1号 株式会社セルバンク内</t>
  </si>
  <si>
    <t>03-5547-0203</t>
  </si>
  <si>
    <t>contact@cellbank.co.jp</t>
  </si>
  <si>
    <t>NB5150007</t>
    <phoneticPr fontId="1"/>
  </si>
  <si>
    <t>名古屋市名東区高社 1-231 エルパティオ 一社 106</t>
  </si>
  <si>
    <t>NA8160004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</si>
</sst>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Yu Gothic"/>
      <family val="2"/>
      <scheme val="minor"/>
    </font>
    <font>
      <sz val="6"/>
      <name val="Yu Gothic"/>
      <family val="3"/>
      <charset val="128"/>
      <scheme val="minor"/>
    </font>
    <font>
      <sz val="11"/>
      <color rgb="FFFF0000"/>
      <name val="Yu Gothic"/>
      <family val="3"/>
      <charset val="128"/>
      <scheme val="minor"/>
    </font>
    <font>
      <sz val="11"/>
      <color rgb="FFFF0000"/>
      <name val="Yu Gothic"/>
      <family val="2"/>
      <scheme val="minor"/>
    </font>
    <font>
      <sz val="11"/>
      <color theme="1"/>
      <name val="Yu Gothic"/>
      <family val="3"/>
      <charset val="128"/>
      <scheme val="minor"/>
    </font>
    <font>
      <b/>
      <sz val="16"/>
      <color theme="1"/>
      <name val="Yu Gothic"/>
      <family val="3"/>
      <charset val="128"/>
      <scheme val="minor"/>
    </font>
    <font>
      <b/>
      <sz val="18"/>
      <color theme="1"/>
      <name val="Yu Gothic"/>
      <family val="3"/>
      <charset val="128"/>
      <scheme val="minor"/>
    </font>
    <font>
      <b/>
      <sz val="14"/>
      <color theme="1"/>
      <name val="Yu Gothic"/>
      <family val="3"/>
      <charset val="128"/>
      <scheme val="minor"/>
    </font>
    <font>
      <sz val="11"/>
      <name val="Yu Gothic"/>
      <family val="3"/>
      <charset val="128"/>
      <scheme val="minor"/>
    </font>
    <font>
      <b/>
      <sz val="11"/>
      <color theme="1"/>
      <name val="Yu Gothic"/>
      <family val="3"/>
      <charset val="128"/>
      <scheme val="minor"/>
    </font>
    <font>
      <b/>
      <u/>
      <sz val="11"/>
      <color rgb="FFFF0000"/>
      <name val="Yu Gothic"/>
      <family val="3"/>
      <charset val="128"/>
      <scheme val="minor"/>
    </font>
    <font>
      <sz val="11"/>
      <name val="Yu Gothic"/>
      <family val="2"/>
      <scheme val="minor"/>
    </font>
    <font>
      <u/>
      <sz val="11"/>
      <color theme="10"/>
      <name val="Yu Gothic"/>
      <family val="2"/>
      <scheme val="minor"/>
    </font>
    <font>
      <b/>
      <sz val="11"/>
      <color rgb="FFFF0000"/>
      <name val="Yu Gothic"/>
      <family val="3"/>
      <charset val="128"/>
      <scheme val="minor"/>
    </font>
    <font>
      <sz val="14"/>
      <color theme="1"/>
      <name val="Yu Gothic"/>
      <family val="3"/>
      <charset val="128"/>
      <scheme val="minor"/>
    </font>
    <font>
      <sz val="16"/>
      <color theme="1"/>
      <name val="Yu Gothic"/>
      <family val="3"/>
      <charset val="128"/>
      <scheme val="minor"/>
    </font>
    <font>
      <sz val="11"/>
      <name val="ＭＳ 明朝"/>
      <family val="1"/>
      <charset val="128"/>
    </font>
    <font>
      <b/>
      <sz val="14"/>
      <color rgb="FFFF0000"/>
      <name val="Yu Gothic"/>
      <family val="3"/>
      <charset val="128"/>
      <scheme val="minor"/>
    </font>
  </fonts>
  <fills count="7">
    <fill>
      <patternFill patternType="none"/>
    </fill>
    <fill>
      <patternFill patternType="gray125"/>
    </fill>
    <fill>
      <patternFill patternType="solid">
        <fgColor theme="9" tint="0.79998168889431442"/>
        <bgColor indexed="64"/>
      </patternFill>
    </fill>
    <fill>
      <patternFill patternType="solid">
        <fgColor theme="9" tint="0.39997558519241921"/>
        <bgColor indexed="64"/>
      </patternFill>
    </fill>
    <fill>
      <patternFill patternType="solid">
        <fgColor rgb="FFFFFF00"/>
        <bgColor indexed="64"/>
      </patternFill>
    </fill>
    <fill>
      <patternFill patternType="solid">
        <fgColor theme="0" tint="-0.14999847407452621"/>
        <bgColor indexed="64"/>
      </patternFill>
    </fill>
    <fill>
      <patternFill patternType="solid">
        <fgColor theme="5" tint="0.79998168889431442"/>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2">
    <xf numFmtId="0" fontId="0" fillId="0" borderId="0"/>
    <xf numFmtId="0" fontId="12" fillId="0" borderId="0" applyNumberFormat="0" applyFill="0" applyBorder="0" applyAlignment="0" applyProtection="0"/>
  </cellStyleXfs>
  <cellXfs count="47">
    <xf numFmtId="0" fontId="0" fillId="0" borderId="0" xfId="0"/>
    <xf numFmtId="0" fontId="0" fillId="0" borderId="1" xfId="0" applyBorder="1" applyAlignment="1">
      <alignment vertical="center" wrapText="1"/>
    </xf>
    <xf numFmtId="0" fontId="0" fillId="0" borderId="1" xfId="0" applyBorder="1" applyAlignment="1">
      <alignment horizontal="center" vertical="center"/>
    </xf>
    <xf numFmtId="0" fontId="4" fillId="0" borderId="1" xfId="0" applyFont="1" applyBorder="1" applyAlignment="1">
      <alignment vertical="center" wrapText="1"/>
    </xf>
    <xf numFmtId="0" fontId="0" fillId="0" borderId="0" xfId="0" applyAlignment="1">
      <alignment horizontal="center"/>
    </xf>
    <xf numFmtId="0" fontId="3" fillId="0" borderId="1" xfId="0" applyFont="1" applyBorder="1" applyAlignment="1">
      <alignment vertical="center" wrapText="1"/>
    </xf>
    <xf numFmtId="0" fontId="0" fillId="3" borderId="1" xfId="0" applyFill="1" applyBorder="1" applyAlignment="1">
      <alignment horizontal="center" vertical="center"/>
    </xf>
    <xf numFmtId="0" fontId="0" fillId="0" borderId="3" xfId="0" applyBorder="1" applyAlignment="1">
      <alignment horizontal="center" vertical="center"/>
    </xf>
    <xf numFmtId="0" fontId="11" fillId="0" borderId="1" xfId="0" applyFont="1" applyBorder="1" applyAlignment="1">
      <alignment vertical="center" wrapText="1"/>
    </xf>
    <xf numFmtId="0" fontId="8" fillId="0" borderId="1" xfId="0" applyFont="1" applyBorder="1" applyAlignment="1">
      <alignment vertical="center" wrapText="1"/>
    </xf>
    <xf numFmtId="0" fontId="5" fillId="3" borderId="1" xfId="0" applyFont="1" applyFill="1" applyBorder="1" applyAlignment="1">
      <alignment horizontal="center" vertical="center" wrapText="1"/>
    </xf>
    <xf numFmtId="0" fontId="0" fillId="0" borderId="0" xfId="0" applyAlignment="1">
      <alignment wrapText="1"/>
    </xf>
    <xf numFmtId="0" fontId="0" fillId="4" borderId="1" xfId="0" applyFill="1" applyBorder="1" applyAlignment="1">
      <alignment vertical="center" wrapText="1"/>
    </xf>
    <xf numFmtId="0" fontId="0" fillId="4" borderId="1" xfId="0" applyFill="1" applyBorder="1" applyAlignment="1">
      <alignment vertical="center"/>
    </xf>
    <xf numFmtId="0" fontId="12" fillId="0" borderId="1" xfId="1" applyBorder="1" applyAlignment="1">
      <alignment vertical="center" wrapText="1"/>
    </xf>
    <xf numFmtId="0" fontId="0" fillId="0" borderId="0" xfId="0" applyAlignment="1">
      <alignment vertical="center"/>
    </xf>
    <xf numFmtId="0" fontId="0" fillId="0" borderId="0" xfId="0" applyAlignment="1">
      <alignment vertical="center" shrinkToFit="1"/>
    </xf>
    <xf numFmtId="0" fontId="0" fillId="0" borderId="0" xfId="0" applyAlignment="1">
      <alignment horizontal="left" vertical="center"/>
    </xf>
    <xf numFmtId="0" fontId="0" fillId="0" borderId="0" xfId="0" applyAlignment="1">
      <alignment vertical="center" wrapText="1" shrinkToFit="1"/>
    </xf>
    <xf numFmtId="0" fontId="11" fillId="0" borderId="4" xfId="0" applyFont="1" applyBorder="1" applyAlignment="1">
      <alignment vertical="center" wrapText="1"/>
    </xf>
    <xf numFmtId="0" fontId="0" fillId="0" borderId="1" xfId="0" applyBorder="1" applyAlignment="1">
      <alignment vertical="center"/>
    </xf>
    <xf numFmtId="0" fontId="13" fillId="0" borderId="1" xfId="0" applyFont="1" applyBorder="1" applyAlignment="1">
      <alignment vertical="center" wrapText="1"/>
    </xf>
    <xf numFmtId="0" fontId="0" fillId="0" borderId="0" xfId="0" applyAlignment="1">
      <alignment vertical="center" wrapText="1"/>
    </xf>
    <xf numFmtId="0" fontId="3" fillId="0" borderId="0" xfId="0" applyFont="1" applyAlignment="1">
      <alignment vertical="center" wrapText="1"/>
    </xf>
    <xf numFmtId="0" fontId="2" fillId="0" borderId="1" xfId="0" applyFont="1" applyBorder="1" applyAlignment="1">
      <alignment vertical="center" wrapText="1"/>
    </xf>
    <xf numFmtId="0" fontId="0" fillId="5" borderId="1" xfId="0" applyFill="1" applyBorder="1" applyAlignment="1">
      <alignment vertical="center"/>
    </xf>
    <xf numFmtId="0" fontId="0" fillId="5" borderId="1" xfId="0" applyFill="1" applyBorder="1" applyAlignment="1">
      <alignment vertical="center" wrapText="1"/>
    </xf>
    <xf numFmtId="0" fontId="0" fillId="4" borderId="0" xfId="0" applyFill="1"/>
    <xf numFmtId="0" fontId="3" fillId="0" borderId="0" xfId="0" applyFont="1"/>
    <xf numFmtId="0" fontId="17" fillId="5" borderId="0" xfId="0" applyFont="1" applyFill="1" applyAlignment="1">
      <alignment horizontal="left" vertical="center"/>
    </xf>
    <xf numFmtId="0" fontId="14" fillId="5" borderId="0" xfId="0" applyFont="1" applyFill="1" applyAlignment="1">
      <alignment vertical="center" wrapText="1"/>
    </xf>
    <xf numFmtId="0" fontId="0" fillId="6" borderId="1" xfId="0" applyFill="1" applyBorder="1" applyAlignment="1">
      <alignment vertical="center" wrapText="1"/>
    </xf>
    <xf numFmtId="0" fontId="11" fillId="6" borderId="1" xfId="0" applyFont="1" applyFill="1" applyBorder="1" applyAlignment="1">
      <alignment vertical="center" wrapText="1"/>
    </xf>
    <xf numFmtId="0" fontId="0" fillId="0" borderId="1" xfId="0" applyBorder="1" applyAlignment="1">
      <alignment shrinkToFit="1"/>
    </xf>
    <xf numFmtId="0" fontId="0" fillId="4" borderId="1" xfId="0" applyFill="1" applyBorder="1" applyAlignment="1">
      <alignment shrinkToFit="1"/>
    </xf>
    <xf numFmtId="0" fontId="3" fillId="4" borderId="1" xfId="0" applyFont="1" applyFill="1" applyBorder="1" applyAlignment="1">
      <alignment shrinkToFit="1"/>
    </xf>
    <xf numFmtId="0" fontId="2" fillId="4" borderId="1" xfId="0" applyFont="1" applyFill="1" applyBorder="1" applyAlignment="1">
      <alignment shrinkToFit="1"/>
    </xf>
    <xf numFmtId="0" fontId="3" fillId="6" borderId="1" xfId="0" applyFont="1" applyFill="1" applyBorder="1" applyAlignment="1">
      <alignment vertical="center" wrapText="1"/>
    </xf>
    <xf numFmtId="0" fontId="0" fillId="0" borderId="1" xfId="0" applyBorder="1" applyAlignment="1">
      <alignment horizontal="right" vertical="center"/>
    </xf>
    <xf numFmtId="0" fontId="0" fillId="4" borderId="1" xfId="0" applyFill="1" applyBorder="1" applyAlignment="1">
      <alignment horizontal="right" vertical="center"/>
    </xf>
    <xf numFmtId="0" fontId="0" fillId="0" borderId="0" xfId="0" applyAlignment="1">
      <alignment shrinkToFit="1"/>
    </xf>
    <xf numFmtId="0" fontId="6" fillId="0" borderId="2" xfId="0" applyFont="1" applyBorder="1" applyAlignment="1">
      <alignment horizontal="center" vertical="center"/>
    </xf>
    <xf numFmtId="0" fontId="7" fillId="2" borderId="3" xfId="0" applyFont="1" applyFill="1" applyBorder="1" applyAlignment="1">
      <alignment horizontal="left" vertical="center"/>
    </xf>
    <xf numFmtId="0" fontId="7" fillId="2" borderId="4" xfId="0" applyFont="1" applyFill="1" applyBorder="1" applyAlignment="1">
      <alignment horizontal="left" vertical="center"/>
    </xf>
    <xf numFmtId="0" fontId="0" fillId="0" borderId="5" xfId="0" applyBorder="1" applyAlignment="1">
      <alignment horizontal="center" vertical="center" wrapText="1"/>
    </xf>
    <xf numFmtId="0" fontId="0" fillId="0" borderId="6" xfId="0" applyBorder="1" applyAlignment="1">
      <alignment horizontal="center" vertical="center" wrapText="1"/>
    </xf>
    <xf numFmtId="0" fontId="15" fillId="0" borderId="2" xfId="0" applyFont="1" applyBorder="1" applyAlignment="1">
      <alignment horizontal="center" wrapText="1"/>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ito@abc.com" TargetMode="External"/><Relationship Id="rId1" Type="http://schemas.openxmlformats.org/officeDocument/2006/relationships/hyperlink" Target="mailto:yamada@abc.co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38E7AC-86DF-4073-A1E2-489C2EAF5E69}">
  <sheetPr>
    <pageSetUpPr fitToPage="1"/>
  </sheetPr>
  <dimension ref="A1:E89"/>
  <sheetViews>
    <sheetView tabSelected="1" view="pageBreakPreview" topLeftCell="A13" zoomScale="85" zoomScaleNormal="100" zoomScaleSheetLayoutView="85" workbookViewId="0">
      <selection activeCell="C27" sqref="C27"/>
    </sheetView>
  </sheetViews>
  <sheetFormatPr defaultRowHeight="18.45"/>
  <cols>
    <col min="1" max="1" width="5.0703125" style="4" customWidth="1"/>
    <col min="2" max="2" width="54.5" style="11" customWidth="1"/>
    <col min="3" max="3" width="65.78515625" style="11" customWidth="1"/>
    <col min="4" max="4" width="20" customWidth="1"/>
  </cols>
  <sheetData>
    <row r="1" spans="1:4" ht="27" customHeight="1">
      <c r="A1" s="41" t="s">
        <v>6</v>
      </c>
      <c r="B1" s="41"/>
      <c r="C1" s="41"/>
    </row>
    <row r="2" spans="1:4" ht="29.15" customHeight="1">
      <c r="A2" s="6" t="s">
        <v>0</v>
      </c>
      <c r="B2" s="10" t="s">
        <v>1</v>
      </c>
      <c r="C2" s="10" t="s">
        <v>2</v>
      </c>
    </row>
    <row r="3" spans="1:4" ht="23.15">
      <c r="A3" s="42" t="s">
        <v>231</v>
      </c>
      <c r="B3" s="43"/>
      <c r="C3" s="43"/>
    </row>
    <row r="4" spans="1:4" ht="24.45" customHeight="1">
      <c r="A4" s="13" t="s">
        <v>26</v>
      </c>
      <c r="B4" s="12"/>
      <c r="C4" s="8"/>
    </row>
    <row r="5" spans="1:4">
      <c r="A5" s="2">
        <v>1</v>
      </c>
      <c r="B5" s="1" t="s">
        <v>14</v>
      </c>
      <c r="C5" s="8" t="s">
        <v>11</v>
      </c>
      <c r="D5" t="s">
        <v>15</v>
      </c>
    </row>
    <row r="6" spans="1:4">
      <c r="A6" s="2">
        <v>1</v>
      </c>
      <c r="B6" s="1" t="s">
        <v>28</v>
      </c>
      <c r="C6" s="8" t="s">
        <v>12</v>
      </c>
      <c r="D6" t="s">
        <v>16</v>
      </c>
    </row>
    <row r="7" spans="1:4">
      <c r="A7" s="2"/>
      <c r="B7" s="1" t="s">
        <v>19</v>
      </c>
      <c r="C7" s="8" t="s">
        <v>20</v>
      </c>
      <c r="D7" t="s">
        <v>16</v>
      </c>
    </row>
    <row r="8" spans="1:4">
      <c r="A8" s="2"/>
      <c r="B8" s="1" t="s">
        <v>27</v>
      </c>
      <c r="C8" s="8" t="s">
        <v>13</v>
      </c>
      <c r="D8" t="s">
        <v>16</v>
      </c>
    </row>
    <row r="9" spans="1:4">
      <c r="A9" s="2">
        <v>1</v>
      </c>
      <c r="B9" s="1" t="s">
        <v>29</v>
      </c>
      <c r="C9" s="8" t="s">
        <v>17</v>
      </c>
    </row>
    <row r="10" spans="1:4">
      <c r="A10" s="2"/>
      <c r="B10" s="1" t="s">
        <v>30</v>
      </c>
      <c r="C10" s="8" t="s">
        <v>18</v>
      </c>
    </row>
    <row r="11" spans="1:4" ht="24.45" customHeight="1">
      <c r="A11" s="13" t="s">
        <v>23</v>
      </c>
      <c r="B11" s="12"/>
      <c r="C11" s="8"/>
    </row>
    <row r="12" spans="1:4">
      <c r="A12" s="2">
        <v>2</v>
      </c>
      <c r="B12" s="1" t="s">
        <v>22</v>
      </c>
      <c r="C12" s="8" t="s">
        <v>18</v>
      </c>
    </row>
    <row r="13" spans="1:4">
      <c r="A13" s="2"/>
      <c r="B13" s="1" t="s">
        <v>24</v>
      </c>
      <c r="C13" s="8" t="s">
        <v>21</v>
      </c>
    </row>
    <row r="14" spans="1:4" ht="18" customHeight="1">
      <c r="A14" s="2"/>
      <c r="B14" s="1" t="s">
        <v>25</v>
      </c>
      <c r="C14" s="14" t="s">
        <v>32</v>
      </c>
    </row>
    <row r="15" spans="1:4" ht="24.45" customHeight="1">
      <c r="A15" s="13" t="s">
        <v>31</v>
      </c>
      <c r="B15" s="12"/>
      <c r="C15" s="8"/>
    </row>
    <row r="16" spans="1:4">
      <c r="A16" s="2"/>
      <c r="B16" s="1" t="s">
        <v>22</v>
      </c>
      <c r="C16" s="8" t="s">
        <v>33</v>
      </c>
    </row>
    <row r="17" spans="1:4">
      <c r="A17" s="2"/>
      <c r="B17" s="1" t="s">
        <v>24</v>
      </c>
      <c r="C17" s="8" t="s">
        <v>34</v>
      </c>
    </row>
    <row r="18" spans="1:4" ht="18" customHeight="1">
      <c r="A18" s="2"/>
      <c r="B18" s="1" t="s">
        <v>25</v>
      </c>
      <c r="C18" s="14" t="s">
        <v>35</v>
      </c>
    </row>
    <row r="19" spans="1:4" ht="24.45" customHeight="1">
      <c r="A19" s="13" t="s">
        <v>41</v>
      </c>
      <c r="B19" s="12"/>
      <c r="C19" s="8"/>
    </row>
    <row r="20" spans="1:4" ht="73.75">
      <c r="A20" s="2"/>
      <c r="B20" s="1" t="s">
        <v>39</v>
      </c>
      <c r="C20" s="5" t="s">
        <v>36</v>
      </c>
    </row>
    <row r="21" spans="1:4" ht="73.75">
      <c r="A21" s="2"/>
      <c r="B21" s="3" t="s">
        <v>196</v>
      </c>
      <c r="C21" s="5" t="s">
        <v>36</v>
      </c>
    </row>
    <row r="22" spans="1:4" ht="23.15">
      <c r="A22" s="42" t="s">
        <v>230</v>
      </c>
      <c r="B22" s="43"/>
      <c r="C22" s="43"/>
    </row>
    <row r="23" spans="1:4" ht="21.45" customHeight="1">
      <c r="A23" s="13" t="s">
        <v>87</v>
      </c>
      <c r="B23" s="12"/>
      <c r="C23" s="8"/>
    </row>
    <row r="24" spans="1:4">
      <c r="A24" s="2"/>
      <c r="B24" s="1" t="s">
        <v>98</v>
      </c>
      <c r="C24" s="8" t="s">
        <v>42</v>
      </c>
    </row>
    <row r="25" spans="1:4">
      <c r="A25" s="2"/>
      <c r="B25" s="31" t="s">
        <v>235</v>
      </c>
      <c r="C25" s="32" t="s">
        <v>238</v>
      </c>
      <c r="D25" s="28" t="s">
        <v>236</v>
      </c>
    </row>
    <row r="26" spans="1:4" ht="36.9">
      <c r="A26" s="2"/>
      <c r="B26" s="1" t="s">
        <v>99</v>
      </c>
      <c r="C26" s="8" t="s">
        <v>50</v>
      </c>
    </row>
    <row r="27" spans="1:4" ht="73.75">
      <c r="A27" s="2"/>
      <c r="B27" s="31" t="s">
        <v>235</v>
      </c>
      <c r="C27" s="32" t="s">
        <v>237</v>
      </c>
      <c r="D27" s="28" t="s">
        <v>236</v>
      </c>
    </row>
    <row r="28" spans="1:4">
      <c r="A28" s="2"/>
      <c r="B28" s="1" t="s">
        <v>100</v>
      </c>
      <c r="C28" s="8"/>
    </row>
    <row r="29" spans="1:4">
      <c r="A29" s="2"/>
      <c r="B29" s="1" t="s">
        <v>101</v>
      </c>
      <c r="C29" s="8"/>
    </row>
    <row r="30" spans="1:4" ht="21.45" customHeight="1">
      <c r="A30" s="13" t="s">
        <v>111</v>
      </c>
      <c r="B30" s="12"/>
      <c r="C30" s="8"/>
    </row>
    <row r="31" spans="1:4">
      <c r="A31" s="2"/>
      <c r="B31" s="1" t="s">
        <v>95</v>
      </c>
      <c r="C31" s="8" t="s">
        <v>89</v>
      </c>
    </row>
    <row r="32" spans="1:4">
      <c r="A32" s="2"/>
      <c r="B32" s="1" t="s">
        <v>96</v>
      </c>
      <c r="C32" s="8" t="s">
        <v>105</v>
      </c>
    </row>
    <row r="33" spans="1:5">
      <c r="A33" s="2"/>
      <c r="B33" s="1" t="s">
        <v>97</v>
      </c>
      <c r="C33" s="8" t="s">
        <v>93</v>
      </c>
    </row>
    <row r="34" spans="1:5">
      <c r="A34" s="2"/>
      <c r="B34" s="1" t="s">
        <v>110</v>
      </c>
      <c r="C34" s="8"/>
    </row>
    <row r="35" spans="1:5">
      <c r="A35" s="13" t="s">
        <v>112</v>
      </c>
      <c r="B35" s="12"/>
      <c r="C35" s="8"/>
    </row>
    <row r="36" spans="1:5">
      <c r="A36" s="2"/>
      <c r="B36" s="1" t="s">
        <v>126</v>
      </c>
      <c r="C36" s="8" t="s">
        <v>114</v>
      </c>
      <c r="E36" s="28" t="s">
        <v>227</v>
      </c>
    </row>
    <row r="37" spans="1:5">
      <c r="A37" s="13" t="s">
        <v>127</v>
      </c>
      <c r="B37" s="12"/>
      <c r="C37" s="8"/>
    </row>
    <row r="38" spans="1:5">
      <c r="A38" s="2"/>
      <c r="B38" s="1" t="s">
        <v>223</v>
      </c>
      <c r="C38" s="5"/>
    </row>
    <row r="39" spans="1:5" ht="55.3">
      <c r="A39" s="2"/>
      <c r="B39" s="1" t="s">
        <v>225</v>
      </c>
      <c r="C39" s="24"/>
    </row>
    <row r="40" spans="1:5">
      <c r="A40" s="2"/>
      <c r="B40" s="1" t="s">
        <v>224</v>
      </c>
      <c r="C40" s="24"/>
    </row>
    <row r="41" spans="1:5">
      <c r="A41" s="13" t="s">
        <v>182</v>
      </c>
      <c r="B41" s="12"/>
      <c r="C41" s="8"/>
    </row>
    <row r="42" spans="1:5">
      <c r="A42" s="20"/>
      <c r="B42" s="1" t="s">
        <v>239</v>
      </c>
      <c r="C42" s="5" t="s">
        <v>240</v>
      </c>
    </row>
    <row r="43" spans="1:5">
      <c r="A43" s="20"/>
      <c r="B43" s="1" t="s">
        <v>239</v>
      </c>
      <c r="C43" s="24" t="s">
        <v>241</v>
      </c>
    </row>
    <row r="44" spans="1:5">
      <c r="A44" s="20"/>
      <c r="B44" s="1" t="s">
        <v>242</v>
      </c>
      <c r="C44" s="24" t="s">
        <v>241</v>
      </c>
    </row>
    <row r="45" spans="1:5">
      <c r="A45" s="2"/>
      <c r="B45" s="1" t="s">
        <v>3</v>
      </c>
      <c r="C45" s="9"/>
    </row>
    <row r="46" spans="1:5" ht="30" customHeight="1">
      <c r="A46" s="2"/>
      <c r="B46" s="1" t="s">
        <v>9</v>
      </c>
      <c r="C46" s="9"/>
    </row>
    <row r="47" spans="1:5" ht="198" customHeight="1">
      <c r="A47" s="2"/>
      <c r="B47" s="1" t="s">
        <v>183</v>
      </c>
      <c r="C47" s="24" t="s">
        <v>184</v>
      </c>
    </row>
    <row r="48" spans="1:5">
      <c r="A48" s="13" t="s">
        <v>197</v>
      </c>
      <c r="B48" s="12"/>
      <c r="C48" s="8"/>
    </row>
    <row r="49" spans="1:3" ht="57.9" customHeight="1">
      <c r="A49" s="2"/>
      <c r="B49" s="1" t="s">
        <v>234</v>
      </c>
      <c r="C49" s="1" t="s">
        <v>233</v>
      </c>
    </row>
    <row r="50" spans="1:3" ht="47.6" customHeight="1">
      <c r="A50" s="2"/>
      <c r="B50" s="1" t="s">
        <v>232</v>
      </c>
      <c r="C50" s="1" t="s">
        <v>10</v>
      </c>
    </row>
    <row r="51" spans="1:3">
      <c r="A51" s="13" t="s">
        <v>128</v>
      </c>
      <c r="B51" s="12"/>
      <c r="C51" s="8"/>
    </row>
    <row r="52" spans="1:3">
      <c r="A52" s="2"/>
      <c r="B52" s="1" t="s">
        <v>129</v>
      </c>
      <c r="C52" s="8"/>
    </row>
    <row r="53" spans="1:3">
      <c r="A53" s="2"/>
      <c r="B53" s="1" t="s">
        <v>134</v>
      </c>
      <c r="C53" s="8" t="s">
        <v>131</v>
      </c>
    </row>
    <row r="54" spans="1:3">
      <c r="A54" s="13" t="s">
        <v>135</v>
      </c>
      <c r="B54" s="12"/>
      <c r="C54" s="19"/>
    </row>
    <row r="55" spans="1:3" ht="147.44999999999999">
      <c r="A55" s="2"/>
      <c r="B55" s="1" t="s">
        <v>138</v>
      </c>
      <c r="C55" s="5" t="s">
        <v>137</v>
      </c>
    </row>
    <row r="56" spans="1:3" ht="198.9" customHeight="1">
      <c r="A56" s="2"/>
      <c r="B56" s="1" t="s">
        <v>140</v>
      </c>
      <c r="C56" s="5" t="s">
        <v>139</v>
      </c>
    </row>
    <row r="57" spans="1:3" ht="23.15">
      <c r="A57" s="42" t="s">
        <v>243</v>
      </c>
      <c r="B57" s="43"/>
      <c r="C57" s="43"/>
    </row>
    <row r="58" spans="1:3">
      <c r="A58" s="7"/>
      <c r="B58" s="3" t="s">
        <v>176</v>
      </c>
      <c r="C58" s="8"/>
    </row>
    <row r="59" spans="1:3">
      <c r="A59" s="2"/>
      <c r="B59" s="3" t="s">
        <v>177</v>
      </c>
      <c r="C59" s="9"/>
    </row>
    <row r="60" spans="1:3">
      <c r="A60" s="2"/>
      <c r="B60" s="1" t="s">
        <v>171</v>
      </c>
      <c r="C60" s="5" t="s">
        <v>170</v>
      </c>
    </row>
    <row r="61" spans="1:3" ht="55.3">
      <c r="A61" s="2"/>
      <c r="B61" s="1" t="s">
        <v>174</v>
      </c>
      <c r="C61" s="5" t="s">
        <v>172</v>
      </c>
    </row>
    <row r="62" spans="1:3">
      <c r="A62" s="2"/>
      <c r="B62" s="1" t="s">
        <v>173</v>
      </c>
      <c r="C62" s="5" t="s">
        <v>175</v>
      </c>
    </row>
    <row r="63" spans="1:3" ht="36.9">
      <c r="A63" s="2"/>
      <c r="B63" s="1" t="s">
        <v>136</v>
      </c>
      <c r="C63" s="5" t="s">
        <v>178</v>
      </c>
    </row>
    <row r="64" spans="1:3" ht="23.15">
      <c r="A64" s="42" t="s">
        <v>244</v>
      </c>
      <c r="B64" s="43"/>
      <c r="C64" s="43"/>
    </row>
    <row r="65" spans="1:3">
      <c r="A65" s="2"/>
      <c r="B65" s="3" t="s">
        <v>179</v>
      </c>
      <c r="C65" s="5" t="s">
        <v>221</v>
      </c>
    </row>
    <row r="66" spans="1:3">
      <c r="A66" s="2"/>
      <c r="B66" s="3" t="s">
        <v>180</v>
      </c>
      <c r="C66" s="5" t="s">
        <v>221</v>
      </c>
    </row>
    <row r="67" spans="1:3">
      <c r="A67" s="2"/>
      <c r="B67" s="3" t="s">
        <v>181</v>
      </c>
      <c r="C67" s="5" t="s">
        <v>221</v>
      </c>
    </row>
    <row r="68" spans="1:3" ht="55.3" hidden="1">
      <c r="A68" s="2">
        <v>11</v>
      </c>
      <c r="B68" s="1" t="s">
        <v>4</v>
      </c>
      <c r="C68" s="5" t="s">
        <v>8</v>
      </c>
    </row>
    <row r="69" spans="1:3" ht="36.9" hidden="1">
      <c r="A69" s="2">
        <v>12</v>
      </c>
      <c r="B69" s="1" t="s">
        <v>5</v>
      </c>
      <c r="C69" s="5" t="s">
        <v>7</v>
      </c>
    </row>
    <row r="71" spans="1:3" ht="23.15">
      <c r="A71" s="29" t="s">
        <v>222</v>
      </c>
      <c r="B71" s="30"/>
      <c r="C71" s="23"/>
    </row>
    <row r="72" spans="1:3">
      <c r="A72" s="25" t="s">
        <v>192</v>
      </c>
      <c r="B72" s="26"/>
      <c r="C72" s="8"/>
    </row>
    <row r="73" spans="1:3">
      <c r="A73" s="2"/>
      <c r="B73" s="1" t="s">
        <v>193</v>
      </c>
      <c r="C73" s="5" t="s">
        <v>240</v>
      </c>
    </row>
    <row r="74" spans="1:3">
      <c r="A74" s="2"/>
      <c r="B74" s="1" t="s">
        <v>194</v>
      </c>
      <c r="C74" s="24" t="s">
        <v>266</v>
      </c>
    </row>
    <row r="75" spans="1:3">
      <c r="A75" s="2"/>
      <c r="B75" s="1" t="s">
        <v>195</v>
      </c>
      <c r="C75" s="24" t="s">
        <v>267</v>
      </c>
    </row>
    <row r="76" spans="1:3">
      <c r="A76" s="25" t="s">
        <v>250</v>
      </c>
      <c r="B76" s="26"/>
      <c r="C76" s="8"/>
    </row>
    <row r="77" spans="1:3">
      <c r="A77" s="2"/>
      <c r="B77" s="1" t="s">
        <v>249</v>
      </c>
      <c r="C77" s="5" t="s">
        <v>268</v>
      </c>
    </row>
    <row r="78" spans="1:3">
      <c r="A78" s="2"/>
      <c r="B78" s="1" t="s">
        <v>251</v>
      </c>
      <c r="C78" s="5" t="s">
        <v>269</v>
      </c>
    </row>
    <row r="79" spans="1:3">
      <c r="A79" s="25" t="s">
        <v>198</v>
      </c>
      <c r="B79" s="26"/>
      <c r="C79" s="8"/>
    </row>
    <row r="80" spans="1:3">
      <c r="A80" s="2"/>
      <c r="B80" s="1" t="s">
        <v>199</v>
      </c>
      <c r="C80" s="5" t="s">
        <v>214</v>
      </c>
    </row>
    <row r="81" spans="1:3">
      <c r="A81" s="2"/>
      <c r="B81" s="1" t="s">
        <v>200</v>
      </c>
      <c r="C81" s="5" t="str">
        <f>_xlfn.XLOOKUP(C80,審査委員会!A:A,審査委員会!B:B,"")</f>
        <v>NA8230002</v>
      </c>
    </row>
    <row r="82" spans="1:3">
      <c r="A82" s="2"/>
      <c r="B82" s="31" t="s">
        <v>246</v>
      </c>
      <c r="C82" s="37"/>
    </row>
    <row r="83" spans="1:3">
      <c r="A83" s="2"/>
      <c r="B83" s="31" t="s">
        <v>245</v>
      </c>
      <c r="C83" s="37"/>
    </row>
    <row r="84" spans="1:3">
      <c r="A84" s="2"/>
      <c r="B84" s="31" t="s">
        <v>247</v>
      </c>
      <c r="C84" s="37">
        <f>_xlfn.XLOOKUP(C83,審査委員会!A:A,審査委員会!B:B,"")</f>
        <v>0</v>
      </c>
    </row>
    <row r="85" spans="1:3">
      <c r="A85" s="2"/>
      <c r="B85" s="31" t="s">
        <v>248</v>
      </c>
      <c r="C85" s="37" t="str">
        <f>_xlfn.XLOOKUP(C84,審査委員会!A:A,審査委員会!B:B,"")</f>
        <v/>
      </c>
    </row>
    <row r="86" spans="1:3" ht="24.45" customHeight="1">
      <c r="A86" s="25" t="s">
        <v>41</v>
      </c>
      <c r="B86" s="26"/>
      <c r="C86" s="8"/>
    </row>
    <row r="87" spans="1:3" ht="73.75">
      <c r="A87" s="2"/>
      <c r="B87" s="1" t="s">
        <v>37</v>
      </c>
      <c r="C87" s="5" t="s">
        <v>36</v>
      </c>
    </row>
    <row r="88" spans="1:3" ht="73.75">
      <c r="A88" s="2"/>
      <c r="B88" s="1" t="s">
        <v>38</v>
      </c>
      <c r="C88" s="5" t="s">
        <v>36</v>
      </c>
    </row>
    <row r="89" spans="1:3" ht="73.75">
      <c r="A89" s="2"/>
      <c r="B89" s="1" t="s">
        <v>40</v>
      </c>
      <c r="C89" s="5" t="s">
        <v>36</v>
      </c>
    </row>
  </sheetData>
  <mergeCells count="5">
    <mergeCell ref="A1:C1"/>
    <mergeCell ref="A57:C57"/>
    <mergeCell ref="A3:C3"/>
    <mergeCell ref="A64:C64"/>
    <mergeCell ref="A22:C22"/>
  </mergeCells>
  <phoneticPr fontId="1"/>
  <hyperlinks>
    <hyperlink ref="C14" r:id="rId1" xr:uid="{DC068A1F-1169-41A3-A929-F47A4F0DE554}"/>
    <hyperlink ref="C18" r:id="rId2" xr:uid="{9377F2F8-C900-49ED-B006-C853C3166EA5}"/>
  </hyperlinks>
  <pageMargins left="0.23622047244094491" right="0.23622047244094491" top="0.15748031496062992" bottom="0" header="0.31496062992125984" footer="0.31496062992125984"/>
  <pageSetup paperSize="9" scale="73" fitToHeight="0" orientation="portrait" r:id="rId3"/>
  <headerFooter>
    <oddFooter>&amp;R&amp;P</oddFooter>
  </headerFooter>
  <extLst>
    <ext xmlns:x14="http://schemas.microsoft.com/office/spreadsheetml/2009/9/main" uri="{CCE6A557-97BC-4b89-ADB6-D9C93CAAB3DF}">
      <x14:dataValidations xmlns:xm="http://schemas.microsoft.com/office/excel/2006/main" count="5">
        <x14:dataValidation type="list" allowBlank="1" showInputMessage="1" showErrorMessage="1" error="タブから選択してください" xr:uid="{05C0F7EA-58E7-45D2-9197-70AB0426CD3D}">
          <x14:formula1>
            <xm:f>カテゴリ・治療名!$C$4:$C$25</xm:f>
          </x14:formula1>
          <xm:sqref>C24 C26 C28:C29</xm:sqref>
        </x14:dataValidation>
        <x14:dataValidation type="list" allowBlank="1" showInputMessage="1" showErrorMessage="1" error="タブから選択してください" xr:uid="{06545711-B723-4A0D-B477-1521EE3AC45C}">
          <x14:formula1>
            <xm:f>培養委託先!$A$3:$A$14</xm:f>
          </x14:formula1>
          <xm:sqref>C36</xm:sqref>
        </x14:dataValidation>
        <x14:dataValidation type="list" allowBlank="1" showInputMessage="1" showErrorMessage="1" error="タブから選択してください" xr:uid="{4D826E48-2B4E-4851-8FE8-138A00AE17A8}">
          <x14:formula1>
            <xm:f>PRPメーカー!$A$15:$A$16</xm:f>
          </x14:formula1>
          <xm:sqref>C53</xm:sqref>
        </x14:dataValidation>
        <x14:dataValidation type="list" allowBlank="1" showInputMessage="1" showErrorMessage="1" error="選択タグより選択ください" xr:uid="{1D485D21-24AF-4574-B603-BAD33AE676F6}">
          <x14:formula1>
            <xm:f>審査委員会!$A$2:$A$11</xm:f>
          </x14:formula1>
          <xm:sqref>C80 C82</xm:sqref>
        </x14:dataValidation>
        <x14:dataValidation type="list" allowBlank="1" showInputMessage="1" showErrorMessage="1" error="タブから選択してください" xr:uid="{A0589725-BF18-4664-B35B-101109715136}">
          <x14:formula1>
            <xm:f>PRPメーカー!$A$3:$A$12</xm:f>
          </x14:formula1>
          <xm:sqref>C31:C33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C5938B-2F06-47FB-ADA5-5E4FD64B89AB}">
  <dimension ref="A1:B20"/>
  <sheetViews>
    <sheetView workbookViewId="0">
      <selection activeCell="H56" sqref="H56"/>
    </sheetView>
  </sheetViews>
  <sheetFormatPr defaultRowHeight="18.45"/>
  <cols>
    <col min="1" max="1" width="21" style="15" customWidth="1"/>
    <col min="2" max="2" width="83.640625" style="22" customWidth="1"/>
  </cols>
  <sheetData>
    <row r="1" spans="1:2" ht="55.3" customHeight="1">
      <c r="A1" s="46" t="s">
        <v>159</v>
      </c>
      <c r="B1" s="46"/>
    </row>
    <row r="2" spans="1:2">
      <c r="A2" s="20" t="s">
        <v>141</v>
      </c>
      <c r="B2" s="5" t="s">
        <v>142</v>
      </c>
    </row>
    <row r="3" spans="1:2">
      <c r="A3" s="20"/>
      <c r="B3" s="5" t="s">
        <v>143</v>
      </c>
    </row>
    <row r="4" spans="1:2">
      <c r="A4" s="20" t="s">
        <v>144</v>
      </c>
      <c r="B4" s="5" t="s">
        <v>145</v>
      </c>
    </row>
    <row r="5" spans="1:2">
      <c r="A5" s="20" t="s">
        <v>146</v>
      </c>
      <c r="B5" s="5" t="s">
        <v>147</v>
      </c>
    </row>
    <row r="6" spans="1:2">
      <c r="A6" s="20" t="s">
        <v>148</v>
      </c>
      <c r="B6" s="5" t="s">
        <v>149</v>
      </c>
    </row>
    <row r="7" spans="1:2" ht="282.45" customHeight="1">
      <c r="A7" s="1" t="s">
        <v>160</v>
      </c>
      <c r="B7" s="5" t="s">
        <v>161</v>
      </c>
    </row>
    <row r="8" spans="1:2">
      <c r="A8" s="20" t="s">
        <v>151</v>
      </c>
      <c r="B8" s="5" t="s">
        <v>152</v>
      </c>
    </row>
    <row r="9" spans="1:2">
      <c r="A9" s="20" t="s">
        <v>153</v>
      </c>
      <c r="B9" s="5" t="s">
        <v>154</v>
      </c>
    </row>
    <row r="10" spans="1:2" ht="92.15">
      <c r="A10" s="20" t="s">
        <v>150</v>
      </c>
      <c r="B10" s="5" t="s">
        <v>162</v>
      </c>
    </row>
    <row r="11" spans="1:2">
      <c r="A11" s="44" t="s">
        <v>155</v>
      </c>
      <c r="B11" s="21" t="s">
        <v>156</v>
      </c>
    </row>
    <row r="12" spans="1:2" ht="55.3">
      <c r="A12" s="45"/>
      <c r="B12" s="5" t="s">
        <v>163</v>
      </c>
    </row>
    <row r="13" spans="1:2">
      <c r="A13" s="45"/>
      <c r="B13" s="21" t="s">
        <v>157</v>
      </c>
    </row>
    <row r="14" spans="1:2" ht="147.44999999999999">
      <c r="A14" s="45"/>
      <c r="B14" s="5" t="s">
        <v>164</v>
      </c>
    </row>
    <row r="15" spans="1:2" ht="36.9">
      <c r="A15" s="45"/>
      <c r="B15" s="21" t="s">
        <v>165</v>
      </c>
    </row>
    <row r="16" spans="1:2" ht="92.15">
      <c r="A16" s="45"/>
      <c r="B16" s="5" t="s">
        <v>166</v>
      </c>
    </row>
    <row r="17" spans="1:2">
      <c r="A17" s="45"/>
      <c r="B17" s="21" t="s">
        <v>158</v>
      </c>
    </row>
    <row r="18" spans="1:2" ht="55.3">
      <c r="A18" s="45"/>
      <c r="B18" s="23" t="s">
        <v>167</v>
      </c>
    </row>
    <row r="19" spans="1:2">
      <c r="A19" s="45"/>
      <c r="B19" s="21" t="s">
        <v>169</v>
      </c>
    </row>
    <row r="20" spans="1:2" ht="73.75">
      <c r="A20" s="45"/>
      <c r="B20" s="5" t="s">
        <v>168</v>
      </c>
    </row>
  </sheetData>
  <mergeCells count="2">
    <mergeCell ref="A11:A20"/>
    <mergeCell ref="A1:B1"/>
  </mergeCells>
  <phoneticPr fontId="1"/>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802902-E6AF-4B7E-BE8C-D7041C43A4F8}">
  <dimension ref="A1:D26"/>
  <sheetViews>
    <sheetView workbookViewId="0">
      <selection activeCell="H56" sqref="H56"/>
    </sheetView>
  </sheetViews>
  <sheetFormatPr defaultRowHeight="18.45"/>
  <cols>
    <col min="1" max="1" width="10.78515625" style="15" customWidth="1"/>
    <col min="2" max="2" width="9.2109375" style="15" customWidth="1"/>
    <col min="3" max="3" width="62.92578125" style="16" customWidth="1"/>
    <col min="4" max="4" width="35.140625" style="15" customWidth="1"/>
  </cols>
  <sheetData>
    <row r="1" spans="1:4">
      <c r="A1" s="15" t="s">
        <v>43</v>
      </c>
    </row>
    <row r="3" spans="1:4">
      <c r="A3" s="15" t="s">
        <v>44</v>
      </c>
      <c r="B3" s="15" t="s">
        <v>63</v>
      </c>
      <c r="C3" s="16" t="s">
        <v>46</v>
      </c>
    </row>
    <row r="4" spans="1:4">
      <c r="A4" s="15" t="s">
        <v>48</v>
      </c>
      <c r="B4" s="15" t="s">
        <v>45</v>
      </c>
      <c r="C4" s="16" t="s">
        <v>51</v>
      </c>
      <c r="D4" s="17" t="str">
        <f>A4&amp;"/"&amp;B4&amp;"/"&amp;C4</f>
        <v>3種PRP/整形外科/四肢の筋・腱・靱帯及びその付着部の傷害を対象とした自家多血小板血漿（PRP）注入療法</v>
      </c>
    </row>
    <row r="5" spans="1:4">
      <c r="A5" s="15" t="s">
        <v>47</v>
      </c>
      <c r="B5" s="15" t="s">
        <v>45</v>
      </c>
      <c r="C5" s="16" t="s">
        <v>42</v>
      </c>
      <c r="D5" s="17" t="str">
        <f t="shared" ref="D5:D26" si="0">A5&amp;"/"&amp;B5&amp;"/"&amp;C5</f>
        <v>2種PRP/整形外科/自家多血小板血漿（PRP）を用いた関節内組織損傷に対する治療</v>
      </c>
    </row>
    <row r="6" spans="1:4">
      <c r="A6" s="15" t="s">
        <v>48</v>
      </c>
      <c r="B6" s="15" t="s">
        <v>84</v>
      </c>
      <c r="C6" s="16" t="s">
        <v>56</v>
      </c>
      <c r="D6" s="17" t="str">
        <f t="shared" si="0"/>
        <v>3種PRP/美容/皮膚/PRP(多血小板血漿)を用いた皮膚の再生を目的とした再生医療</v>
      </c>
    </row>
    <row r="7" spans="1:4">
      <c r="A7" s="15" t="s">
        <v>48</v>
      </c>
      <c r="B7" s="15" t="s">
        <v>53</v>
      </c>
      <c r="C7" s="16" t="s">
        <v>57</v>
      </c>
      <c r="D7" s="17" t="str">
        <f t="shared" ref="D7:D12" si="1">A7&amp;"/"&amp;B7&amp;"/"&amp;C7</f>
        <v>3種PRP/AGA/PRP(多血小板血漿)を用いた育毛を目的とした再生医療</v>
      </c>
    </row>
    <row r="8" spans="1:4">
      <c r="A8" s="15" t="s">
        <v>47</v>
      </c>
      <c r="B8" s="15" t="s">
        <v>62</v>
      </c>
      <c r="C8" s="16" t="s">
        <v>61</v>
      </c>
      <c r="D8" s="17" t="str">
        <f t="shared" si="1"/>
        <v>2種PRP/不妊治療/子宮内膜に対する自家多血小板血漿（自家PRP）を用いた反復性着床不全を対象とした不妊治療</v>
      </c>
    </row>
    <row r="9" spans="1:4">
      <c r="A9" s="15" t="s">
        <v>47</v>
      </c>
      <c r="B9" s="15" t="s">
        <v>62</v>
      </c>
      <c r="C9" s="16" t="s">
        <v>64</v>
      </c>
      <c r="D9" s="17" t="str">
        <f t="shared" si="1"/>
        <v>2種PRP/不妊治療/卵巣に対する自家多血小板血漿（自家PRP）を用いた不妊治療</v>
      </c>
    </row>
    <row r="10" spans="1:4">
      <c r="A10" s="15" t="s">
        <v>65</v>
      </c>
      <c r="B10" s="15" t="s">
        <v>84</v>
      </c>
      <c r="C10" s="16" t="s">
        <v>66</v>
      </c>
      <c r="D10" s="17" t="str">
        <f t="shared" si="1"/>
        <v>2種繊維芽/美容/皮膚/自家培養真皮線維芽細胞を用いた皮膚再生治療</v>
      </c>
    </row>
    <row r="11" spans="1:4">
      <c r="A11" s="15" t="s">
        <v>49</v>
      </c>
      <c r="B11" s="15" t="s">
        <v>84</v>
      </c>
      <c r="C11" s="16" t="s">
        <v>83</v>
      </c>
      <c r="D11" s="17" t="str">
        <f t="shared" si="1"/>
        <v>2種幹細胞/美容/皮膚/自己脂肪由来幹細胞を用いた皮膚の再生を目的とした再生医療</v>
      </c>
    </row>
    <row r="12" spans="1:4">
      <c r="A12" s="15" t="s">
        <v>68</v>
      </c>
      <c r="B12" s="15" t="s">
        <v>69</v>
      </c>
      <c r="C12" s="16" t="s">
        <v>59</v>
      </c>
      <c r="D12" s="17" t="str">
        <f t="shared" si="1"/>
        <v>3種免疫療法/免疫/美容/がんの治療と予防を目的としたNK細胞を用いたアンチエイジング療法</v>
      </c>
    </row>
    <row r="13" spans="1:4">
      <c r="A13" s="15" t="s">
        <v>49</v>
      </c>
      <c r="B13" s="15" t="s">
        <v>52</v>
      </c>
      <c r="C13" s="16" t="s">
        <v>78</v>
      </c>
      <c r="D13" s="17" t="str">
        <f t="shared" si="0"/>
        <v>2種幹細胞/整形外科/自己脂肪組織由来培養間葉系幹細胞を用いた関節系疾患に対する治療（局所投与）</v>
      </c>
    </row>
    <row r="14" spans="1:4">
      <c r="A14" s="15" t="s">
        <v>49</v>
      </c>
      <c r="B14" s="15" t="s">
        <v>52</v>
      </c>
      <c r="C14" s="16" t="s">
        <v>55</v>
      </c>
      <c r="D14" s="17" t="str">
        <f t="shared" si="0"/>
        <v>2種幹細胞/整形外科/変形性関節症に対する自己滑膜由来培養間葉系幹細胞の関節内投与療法</v>
      </c>
    </row>
    <row r="15" spans="1:4">
      <c r="A15" s="15" t="s">
        <v>49</v>
      </c>
      <c r="B15" s="15" t="s">
        <v>54</v>
      </c>
      <c r="C15" s="16" t="s">
        <v>58</v>
      </c>
      <c r="D15" s="17" t="str">
        <f>A15&amp;"/"&amp;B15&amp;"/"&amp;C15</f>
        <v>2種幹細胞/全般/動脈硬化関連血管障害リスクの低減を目的とした自己脂肪組織由来幹細胞治療</v>
      </c>
    </row>
    <row r="16" spans="1:4">
      <c r="A16" s="15" t="s">
        <v>49</v>
      </c>
      <c r="B16" s="15" t="s">
        <v>54</v>
      </c>
      <c r="C16" s="16" t="s">
        <v>82</v>
      </c>
      <c r="D16" s="17" t="str">
        <f>A16&amp;"/"&amp;B16&amp;"/"&amp;C16</f>
        <v>2種幹細胞/全般/自己脂肪由来幹細胞を用いた慢性疼痛治療</v>
      </c>
    </row>
    <row r="17" spans="1:4">
      <c r="A17" s="15" t="s">
        <v>49</v>
      </c>
      <c r="B17" s="15" t="s">
        <v>76</v>
      </c>
      <c r="C17" s="16" t="s">
        <v>67</v>
      </c>
      <c r="D17" s="17" t="str">
        <f t="shared" si="0"/>
        <v>2種幹細胞/脳外科/自己脂肪由来幹細胞を用いた脳血管障害治療</v>
      </c>
    </row>
    <row r="18" spans="1:4">
      <c r="A18" s="15" t="s">
        <v>49</v>
      </c>
      <c r="B18" s="15" t="s">
        <v>77</v>
      </c>
      <c r="C18" s="16" t="s">
        <v>70</v>
      </c>
      <c r="D18" s="17" t="str">
        <f t="shared" si="0"/>
        <v>2種幹細胞/婦人科/自己脂肪由来幹細胞を用いたフレイル治療</v>
      </c>
    </row>
    <row r="19" spans="1:4">
      <c r="A19" s="15" t="s">
        <v>49</v>
      </c>
      <c r="B19" s="15" t="s">
        <v>77</v>
      </c>
      <c r="C19" s="16" t="s">
        <v>72</v>
      </c>
      <c r="D19" s="17" t="str">
        <f>A19&amp;"/"&amp;B19&amp;"/"&amp;C19</f>
        <v>2種幹細胞/婦人科/自己脂肪由来幹細胞を用いた更年期障害治療</v>
      </c>
    </row>
    <row r="20" spans="1:4">
      <c r="A20" s="15" t="s">
        <v>49</v>
      </c>
      <c r="B20" s="15" t="s">
        <v>74</v>
      </c>
      <c r="C20" s="16" t="s">
        <v>71</v>
      </c>
      <c r="D20" s="17" t="str">
        <f t="shared" si="0"/>
        <v>2種幹細胞/内科/自己脂肪由来幹細胞を用いた肝障害治療</v>
      </c>
    </row>
    <row r="21" spans="1:4">
      <c r="A21" s="15" t="s">
        <v>49</v>
      </c>
      <c r="B21" s="15" t="s">
        <v>74</v>
      </c>
      <c r="C21" s="16" t="s">
        <v>73</v>
      </c>
      <c r="D21" s="17" t="str">
        <f t="shared" si="0"/>
        <v>2種幹細胞/内科/自己脂肪由来幹細胞を用いた糖尿病治療</v>
      </c>
    </row>
    <row r="22" spans="1:4">
      <c r="A22" s="15" t="s">
        <v>49</v>
      </c>
      <c r="B22" s="15" t="s">
        <v>53</v>
      </c>
      <c r="C22" s="16" t="s">
        <v>79</v>
      </c>
      <c r="D22" s="17" t="str">
        <f t="shared" ref="D22:D23" si="2">A22&amp;"/"&amp;B22&amp;"/"&amp;C22</f>
        <v>2種幹細胞/AGA/自己脂肪由来幹細胞を用いた毛髪組織の治療（局所投与）</v>
      </c>
    </row>
    <row r="23" spans="1:4">
      <c r="A23" s="15" t="s">
        <v>49</v>
      </c>
      <c r="B23" s="15" t="s">
        <v>75</v>
      </c>
      <c r="C23" s="16" t="s">
        <v>80</v>
      </c>
      <c r="D23" s="17" t="str">
        <f t="shared" si="2"/>
        <v>2種幹細胞/泌尿器科/自己脂肪由来幹細胞を用いたED（勃起不全）治療（局所投与）</v>
      </c>
    </row>
    <row r="24" spans="1:4" ht="36.9">
      <c r="A24" s="15" t="s">
        <v>49</v>
      </c>
      <c r="B24" s="15" t="s">
        <v>85</v>
      </c>
      <c r="C24" s="18" t="s">
        <v>81</v>
      </c>
      <c r="D24" s="17" t="str">
        <f t="shared" ref="D24" si="3">A24&amp;"/"&amp;B24&amp;"/"&amp;C24</f>
        <v>2種幹細胞/皮膚/アトピー性皮膚炎患者の主症状に対する自己脂肪由来間葉系
幹細胞による治療</v>
      </c>
    </row>
    <row r="25" spans="1:4">
      <c r="A25" s="15" t="s">
        <v>49</v>
      </c>
      <c r="B25" s="15" t="s">
        <v>60</v>
      </c>
      <c r="C25" s="16" t="s">
        <v>86</v>
      </c>
      <c r="D25" s="17" t="str">
        <f t="shared" si="0"/>
        <v xml:space="preserve">2種幹細胞/免疫治療/自己脂肪（組織）由来間葉系幹細胞を用いた自己免疫疾患の治療 </v>
      </c>
    </row>
    <row r="26" spans="1:4">
      <c r="D26" s="17" t="str">
        <f t="shared" si="0"/>
        <v>//</v>
      </c>
    </row>
  </sheetData>
  <phoneticPr fontId="1"/>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456906-B358-47F7-B67D-DCD63848AB00}">
  <dimension ref="A2:D16"/>
  <sheetViews>
    <sheetView workbookViewId="0">
      <selection activeCell="C4" sqref="C4"/>
    </sheetView>
  </sheetViews>
  <sheetFormatPr defaultRowHeight="18.45"/>
  <cols>
    <col min="1" max="1" width="43.28515625" style="15" customWidth="1"/>
    <col min="2" max="2" width="22.35546875" style="15" customWidth="1"/>
    <col min="3" max="3" width="55.5" style="15" customWidth="1"/>
    <col min="4" max="4" width="55.42578125" style="15" customWidth="1"/>
  </cols>
  <sheetData>
    <row r="2" spans="1:4">
      <c r="A2" s="20" t="s">
        <v>88</v>
      </c>
      <c r="B2" s="20" t="s">
        <v>102</v>
      </c>
      <c r="C2" s="20" t="s">
        <v>185</v>
      </c>
      <c r="D2" s="20" t="s">
        <v>186</v>
      </c>
    </row>
    <row r="3" spans="1:4" ht="331.75">
      <c r="A3" s="20" t="s">
        <v>89</v>
      </c>
      <c r="B3" s="20">
        <v>20</v>
      </c>
      <c r="C3" s="1" t="s">
        <v>189</v>
      </c>
      <c r="D3" s="1" t="s">
        <v>190</v>
      </c>
    </row>
    <row r="4" spans="1:4" ht="239.6">
      <c r="A4" s="20" t="s">
        <v>103</v>
      </c>
      <c r="B4" s="20">
        <v>11</v>
      </c>
      <c r="C4" s="1" t="s">
        <v>188</v>
      </c>
      <c r="D4" s="1" t="s">
        <v>191</v>
      </c>
    </row>
    <row r="5" spans="1:4" ht="239.6">
      <c r="A5" s="20" t="s">
        <v>104</v>
      </c>
      <c r="B5" s="20">
        <v>22</v>
      </c>
      <c r="C5" s="1" t="s">
        <v>187</v>
      </c>
      <c r="D5" s="1" t="s">
        <v>191</v>
      </c>
    </row>
    <row r="6" spans="1:4" ht="202.75">
      <c r="A6" s="20" t="s">
        <v>90</v>
      </c>
      <c r="B6" s="20">
        <v>15</v>
      </c>
      <c r="C6" s="1" t="s">
        <v>252</v>
      </c>
      <c r="D6" s="1" t="s">
        <v>254</v>
      </c>
    </row>
    <row r="7" spans="1:4" ht="202.75">
      <c r="A7" s="20" t="s">
        <v>91</v>
      </c>
      <c r="B7" s="38" t="s">
        <v>107</v>
      </c>
      <c r="C7" s="1" t="s">
        <v>253</v>
      </c>
      <c r="D7" s="1" t="s">
        <v>255</v>
      </c>
    </row>
    <row r="8" spans="1:4">
      <c r="A8" s="13" t="s">
        <v>92</v>
      </c>
      <c r="B8" s="39" t="s">
        <v>109</v>
      </c>
      <c r="C8" s="13"/>
      <c r="D8" s="13"/>
    </row>
    <row r="9" spans="1:4" ht="258">
      <c r="A9" s="20" t="s">
        <v>106</v>
      </c>
      <c r="B9" s="38" t="s">
        <v>108</v>
      </c>
      <c r="C9" s="1" t="s">
        <v>258</v>
      </c>
      <c r="D9" s="1" t="s">
        <v>256</v>
      </c>
    </row>
    <row r="10" spans="1:4" ht="213.45" customHeight="1">
      <c r="A10" s="20" t="s">
        <v>94</v>
      </c>
      <c r="B10" s="20">
        <v>55</v>
      </c>
      <c r="C10" s="1" t="s">
        <v>259</v>
      </c>
      <c r="D10" s="1" t="s">
        <v>257</v>
      </c>
    </row>
    <row r="11" spans="1:4" ht="73.75">
      <c r="A11" s="20" t="s">
        <v>260</v>
      </c>
      <c r="B11" s="20">
        <v>13.5</v>
      </c>
      <c r="C11" s="1" t="s">
        <v>262</v>
      </c>
      <c r="D11" s="1" t="s">
        <v>261</v>
      </c>
    </row>
    <row r="12" spans="1:4" ht="92.15">
      <c r="A12" s="20" t="s">
        <v>265</v>
      </c>
      <c r="B12" s="20"/>
      <c r="C12" s="1" t="s">
        <v>263</v>
      </c>
      <c r="D12" s="1" t="s">
        <v>264</v>
      </c>
    </row>
    <row r="14" spans="1:4">
      <c r="A14" s="20" t="s">
        <v>130</v>
      </c>
    </row>
    <row r="15" spans="1:4">
      <c r="A15" s="20" t="s">
        <v>132</v>
      </c>
    </row>
    <row r="16" spans="1:4">
      <c r="A16" s="20" t="s">
        <v>133</v>
      </c>
    </row>
  </sheetData>
  <phoneticPr fontId="1"/>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166089-79A2-4780-9496-D705CB7E9622}">
  <dimension ref="A1:F11"/>
  <sheetViews>
    <sheetView zoomScale="130" zoomScaleNormal="130" workbookViewId="0">
      <selection activeCell="H56" sqref="H56"/>
    </sheetView>
  </sheetViews>
  <sheetFormatPr defaultRowHeight="18.45"/>
  <cols>
    <col min="1" max="1" width="35.92578125" style="40" customWidth="1"/>
    <col min="2" max="2" width="10" style="40" customWidth="1"/>
    <col min="3" max="3" width="31" style="40" customWidth="1"/>
    <col min="4" max="4" width="27.42578125" style="40" customWidth="1"/>
    <col min="5" max="5" width="12.140625" style="40" customWidth="1"/>
    <col min="6" max="6" width="17" style="40" customWidth="1"/>
  </cols>
  <sheetData>
    <row r="1" spans="1:6">
      <c r="A1" s="33" t="s">
        <v>202</v>
      </c>
      <c r="B1" s="33" t="s">
        <v>203</v>
      </c>
      <c r="C1" s="33" t="s">
        <v>270</v>
      </c>
      <c r="D1" s="33" t="s">
        <v>271</v>
      </c>
      <c r="E1" s="33" t="s">
        <v>272</v>
      </c>
      <c r="F1" s="33" t="s">
        <v>273</v>
      </c>
    </row>
    <row r="2" spans="1:6">
      <c r="A2" s="33" t="s">
        <v>214</v>
      </c>
      <c r="B2" s="33" t="s">
        <v>201</v>
      </c>
      <c r="C2" s="34" t="s">
        <v>274</v>
      </c>
      <c r="D2" s="34"/>
      <c r="E2" s="34" t="s">
        <v>275</v>
      </c>
      <c r="F2" s="34" t="s">
        <v>276</v>
      </c>
    </row>
    <row r="3" spans="1:6">
      <c r="A3" s="33" t="s">
        <v>204</v>
      </c>
      <c r="B3" s="34" t="s">
        <v>213</v>
      </c>
      <c r="C3" s="35" t="s">
        <v>277</v>
      </c>
      <c r="D3" s="34" t="s">
        <v>278</v>
      </c>
      <c r="E3" s="34" t="s">
        <v>279</v>
      </c>
      <c r="F3" s="34"/>
    </row>
    <row r="4" spans="1:6">
      <c r="A4" s="33" t="s">
        <v>209</v>
      </c>
      <c r="B4" s="34" t="s">
        <v>215</v>
      </c>
      <c r="C4" s="36" t="s">
        <v>277</v>
      </c>
      <c r="D4" s="34" t="s">
        <v>278</v>
      </c>
      <c r="E4" s="34" t="s">
        <v>279</v>
      </c>
      <c r="F4" s="34"/>
    </row>
    <row r="5" spans="1:6">
      <c r="A5" s="33" t="s">
        <v>206</v>
      </c>
      <c r="B5" s="34" t="s">
        <v>216</v>
      </c>
      <c r="C5" s="36" t="s">
        <v>280</v>
      </c>
      <c r="D5" s="34"/>
      <c r="E5" s="34" t="s">
        <v>281</v>
      </c>
      <c r="F5" s="34" t="s">
        <v>282</v>
      </c>
    </row>
    <row r="6" spans="1:6">
      <c r="A6" s="33" t="s">
        <v>208</v>
      </c>
      <c r="B6" s="34" t="s">
        <v>294</v>
      </c>
      <c r="C6" s="36"/>
      <c r="D6" s="34" t="s">
        <v>295</v>
      </c>
      <c r="E6" s="34" t="s">
        <v>283</v>
      </c>
      <c r="F6" s="34"/>
    </row>
    <row r="7" spans="1:6">
      <c r="A7" s="33" t="s">
        <v>205</v>
      </c>
      <c r="B7" s="34" t="s">
        <v>217</v>
      </c>
      <c r="C7" s="36"/>
      <c r="D7" s="34"/>
      <c r="E7" s="34" t="s">
        <v>284</v>
      </c>
      <c r="F7" s="34"/>
    </row>
    <row r="8" spans="1:6">
      <c r="A8" s="33" t="s">
        <v>207</v>
      </c>
      <c r="B8" s="34" t="s">
        <v>218</v>
      </c>
      <c r="C8" s="36" t="s">
        <v>285</v>
      </c>
      <c r="D8" s="34"/>
      <c r="E8" s="34" t="s">
        <v>286</v>
      </c>
      <c r="F8" s="34" t="s">
        <v>287</v>
      </c>
    </row>
    <row r="9" spans="1:6">
      <c r="A9" s="33" t="s">
        <v>211</v>
      </c>
      <c r="B9" s="34" t="s">
        <v>296</v>
      </c>
      <c r="C9" s="36" t="s">
        <v>288</v>
      </c>
      <c r="D9" s="34"/>
      <c r="E9" s="34" t="s">
        <v>289</v>
      </c>
      <c r="F9" s="34"/>
    </row>
    <row r="10" spans="1:6">
      <c r="A10" s="33" t="s">
        <v>210</v>
      </c>
      <c r="B10" s="34" t="s">
        <v>219</v>
      </c>
      <c r="C10" s="36"/>
      <c r="D10" s="34"/>
      <c r="E10" s="34"/>
      <c r="F10" s="34"/>
    </row>
    <row r="11" spans="1:6">
      <c r="A11" s="33" t="s">
        <v>212</v>
      </c>
      <c r="B11" s="34" t="s">
        <v>220</v>
      </c>
      <c r="C11" s="36" t="s">
        <v>290</v>
      </c>
      <c r="D11" s="34" t="s">
        <v>291</v>
      </c>
      <c r="E11" s="34" t="s">
        <v>292</v>
      </c>
      <c r="F11" s="34" t="s">
        <v>293</v>
      </c>
    </row>
  </sheetData>
  <phoneticPr fontId="1"/>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0C142E-E5E1-447C-81B5-C8251D241976}">
  <dimension ref="A2:D14"/>
  <sheetViews>
    <sheetView workbookViewId="0">
      <selection activeCell="H56" sqref="H56"/>
    </sheetView>
  </sheetViews>
  <sheetFormatPr defaultRowHeight="18.45"/>
  <cols>
    <col min="1" max="2" width="40.5703125" customWidth="1"/>
    <col min="3" max="3" width="23.5" customWidth="1"/>
  </cols>
  <sheetData>
    <row r="2" spans="1:4">
      <c r="A2" t="s">
        <v>113</v>
      </c>
      <c r="B2" t="s">
        <v>228</v>
      </c>
      <c r="C2" t="s">
        <v>226</v>
      </c>
    </row>
    <row r="3" spans="1:4">
      <c r="A3" t="s">
        <v>114</v>
      </c>
      <c r="B3" s="27"/>
      <c r="C3" s="27"/>
      <c r="D3" s="28" t="s">
        <v>229</v>
      </c>
    </row>
    <row r="4" spans="1:4">
      <c r="A4" t="s">
        <v>115</v>
      </c>
      <c r="B4" s="27"/>
      <c r="C4" s="27"/>
    </row>
    <row r="5" spans="1:4">
      <c r="A5" t="s">
        <v>116</v>
      </c>
      <c r="B5" s="27"/>
      <c r="C5" s="27"/>
    </row>
    <row r="6" spans="1:4">
      <c r="A6" t="s">
        <v>117</v>
      </c>
      <c r="B6" s="27"/>
      <c r="C6" s="27"/>
    </row>
    <row r="7" spans="1:4">
      <c r="A7" t="s">
        <v>118</v>
      </c>
      <c r="B7" s="27"/>
      <c r="C7" s="27"/>
    </row>
    <row r="8" spans="1:4">
      <c r="A8" t="s">
        <v>119</v>
      </c>
      <c r="B8" s="27"/>
      <c r="C8" s="27"/>
    </row>
    <row r="9" spans="1:4">
      <c r="A9" t="s">
        <v>120</v>
      </c>
      <c r="B9" s="27"/>
      <c r="C9" s="27"/>
    </row>
    <row r="10" spans="1:4">
      <c r="A10" t="s">
        <v>121</v>
      </c>
      <c r="B10" s="27"/>
      <c r="C10" s="27"/>
    </row>
    <row r="11" spans="1:4">
      <c r="A11" t="s">
        <v>122</v>
      </c>
      <c r="B11" s="27"/>
      <c r="C11" s="27"/>
    </row>
    <row r="12" spans="1:4">
      <c r="A12" t="s">
        <v>123</v>
      </c>
      <c r="B12" s="27"/>
      <c r="C12" s="27"/>
    </row>
    <row r="13" spans="1:4">
      <c r="A13" t="s">
        <v>124</v>
      </c>
      <c r="B13" s="27"/>
      <c r="C13" s="27"/>
    </row>
    <row r="14" spans="1:4">
      <c r="A14" t="s">
        <v>125</v>
      </c>
      <c r="B14" s="27"/>
      <c r="C14" s="27"/>
    </row>
  </sheetData>
  <phoneticPr fontId="1"/>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EBE714-F4B6-41BB-8BEB-92BE469C563A}">
  <dimension ref="A1"/>
  <sheetViews>
    <sheetView workbookViewId="0">
      <selection activeCell="A2" sqref="A2"/>
    </sheetView>
  </sheetViews>
  <sheetFormatPr defaultRowHeight="18.45"/>
  <sheetData/>
  <phoneticPr fontId="1"/>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de1ba629-2ef5-49ac-9285-140fa60976af">
      <Terms xmlns="http://schemas.microsoft.com/office/infopath/2007/PartnerControls"/>
    </lcf76f155ced4ddcb4097134ff3c332f>
    <TaxCatchAll xmlns="4d7fb8f6-9384-49ba-9078-0024065d699e" xsi:nil="true"/>
  </documentManagement>
</p:properti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B9F3419BC2D8D64D830E9AEB8963277A" ma:contentTypeVersion="12" ma:contentTypeDescription="新しいドキュメントを作成します。" ma:contentTypeScope="" ma:versionID="aaae8dea08b675139fd36b71e1da83a8">
  <xsd:schema xmlns:xsd="http://www.w3.org/2001/XMLSchema" xmlns:xs="http://www.w3.org/2001/XMLSchema" xmlns:p="http://schemas.microsoft.com/office/2006/metadata/properties" xmlns:ns2="de1ba629-2ef5-49ac-9285-140fa60976af" xmlns:ns3="4d7fb8f6-9384-49ba-9078-0024065d699e" targetNamespace="http://schemas.microsoft.com/office/2006/metadata/properties" ma:root="true" ma:fieldsID="845626131e878e0396b23398a507c366" ns2:_="" ns3:_="">
    <xsd:import namespace="de1ba629-2ef5-49ac-9285-140fa60976af"/>
    <xsd:import namespace="4d7fb8f6-9384-49ba-9078-0024065d699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OCR"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e1ba629-2ef5-49ac-9285-140fa60976a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fa7fad81-3453-4eb1-ad3e-5330ee0ec36b"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4d7fb8f6-9384-49ba-9078-0024065d699e"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cdf94382-9b1a-4d71-a2be-6f4b1febea12}" ma:internalName="TaxCatchAll" ma:showField="CatchAllData" ma:web="4d7fb8f6-9384-49ba-9078-0024065d699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955C180-5C1F-4E5D-8AEB-5287F9B7F8C2}">
  <ds:schemaRefs>
    <ds:schemaRef ds:uri="http://schemas.microsoft.com/sharepoint/v3/contenttype/forms"/>
  </ds:schemaRefs>
</ds:datastoreItem>
</file>

<file path=customXml/itemProps2.xml><?xml version="1.0" encoding="utf-8"?>
<ds:datastoreItem xmlns:ds="http://schemas.openxmlformats.org/officeDocument/2006/customXml" ds:itemID="{75A524BD-3C52-4924-B0C3-26B2B7598A9A}">
  <ds:schemaRefs>
    <ds:schemaRef ds:uri="http://schemas.microsoft.com/office/2006/documentManagement/types"/>
    <ds:schemaRef ds:uri="http://schemas.microsoft.com/office/2006/metadata/properties"/>
    <ds:schemaRef ds:uri="http://schemas.openxmlformats.org/package/2006/metadata/core-properties"/>
    <ds:schemaRef ds:uri="http://purl.org/dc/terms/"/>
    <ds:schemaRef ds:uri="de1ba629-2ef5-49ac-9285-140fa60976af"/>
    <ds:schemaRef ds:uri="4d7fb8f6-9384-49ba-9078-0024065d699e"/>
    <ds:schemaRef ds:uri="http://purl.org/dc/dcmitype/"/>
    <ds:schemaRef ds:uri="http://www.w3.org/XML/1998/namespace"/>
    <ds:schemaRef ds:uri="http://schemas.microsoft.com/office/infopath/2007/PartnerControls"/>
    <ds:schemaRef ds:uri="http://purl.org/dc/elements/1.1/"/>
  </ds:schemaRefs>
</ds:datastoreItem>
</file>

<file path=customXml/itemProps3.xml><?xml version="1.0" encoding="utf-8"?>
<ds:datastoreItem xmlns:ds="http://schemas.openxmlformats.org/officeDocument/2006/customXml" ds:itemID="{2661B8B3-0357-4A2F-B14C-DF8AE62D241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e1ba629-2ef5-49ac-9285-140fa60976af"/>
    <ds:schemaRef ds:uri="4d7fb8f6-9384-49ba-9078-0024065d699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7</vt:i4>
      </vt:variant>
      <vt:variant>
        <vt:lpstr>名前付き一覧</vt:lpstr>
      </vt:variant>
      <vt:variant>
        <vt:i4>2</vt:i4>
      </vt:variant>
    </vt:vector>
  </HeadingPairs>
  <TitlesOfParts>
    <vt:vector size="9" baseType="lpstr">
      <vt:lpstr>ヒアリングシート（PRP）</vt:lpstr>
      <vt:lpstr>略歴書（PRP）</vt:lpstr>
      <vt:lpstr>カテゴリ・治療名</vt:lpstr>
      <vt:lpstr>PRPメーカー</vt:lpstr>
      <vt:lpstr>審査委員会</vt:lpstr>
      <vt:lpstr>培養委託先</vt:lpstr>
      <vt:lpstr>Sheet6</vt:lpstr>
      <vt:lpstr>'ヒアリングシート（PRP）'!Print_Area</vt:lpstr>
      <vt:lpstr>'ヒアリングシート（PRP）'!Print_Titles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泉山秀和</dc:creator>
  <cp:lastModifiedBy>秀和 泉山</cp:lastModifiedBy>
  <cp:lastPrinted>2026-05-29T01:45:30Z</cp:lastPrinted>
  <dcterms:created xsi:type="dcterms:W3CDTF">2015-06-05T18:19:34Z</dcterms:created>
  <dcterms:modified xsi:type="dcterms:W3CDTF">2026-05-29T02:35:28Z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0x010100B9F3419BC2D8D64D830E9AEB8963277A</vt:lpwstr>
  </property>
  <property fmtid="{D5CDD505-2E9C-101B-9397-08002B2CF9AE}" pid="3" name="MediaServiceImageTags">
    <vt:lpwstr/>
  </property>
</Properties>
</file>