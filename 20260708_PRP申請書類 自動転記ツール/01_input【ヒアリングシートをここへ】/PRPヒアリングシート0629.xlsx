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120" yWindow="-120" windowWidth="23256" windowHeight="13176"/>
  </bookViews>
  <sheets>
    <sheet name="ヒアリングシート（PRP）" sheetId="1" r:id="rId1"/>
    <sheet name="略歴書（PRP）" sheetId="2" r:id="rId2"/>
    <sheet name="カテゴリ・治療名" sheetId="3" r:id="rId3"/>
    <sheet name="PRPメーカー" sheetId="4" r:id="rId4"/>
    <sheet name="審査委員会" sheetId="5" r:id="rId5"/>
    <sheet name="培養委託先" sheetId="6" r:id="rId6"/>
    <sheet name="Sheet6" sheetId="7" r:id="rId7"/>
  </sheets>
  <definedNames>
    <definedName name="_xlnm.Print_Area" localSheetId="0">'ヒアリングシート（PRP）'!$A$1:$C$98</definedName>
    <definedName name="_xlnm.Print_Titles" localSheetId="0">'ヒアリングシート（PRP）'!$2:$2</definedName>
  </definedNames>
  <calcPr calcId="14562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2" i="1" l="1"/>
  <c r="B41" i="1"/>
  <c r="B40" i="1"/>
  <c r="B38" i="1"/>
  <c r="B37" i="1"/>
  <c r="B36" i="1"/>
  <c r="B34" i="1"/>
  <c r="B33" i="1"/>
  <c r="B32" i="1"/>
  <c r="D26" i="3" l="1"/>
  <c r="D25" i="3"/>
  <c r="D24" i="3"/>
  <c r="D23" i="3"/>
  <c r="D22" i="3"/>
  <c r="D21" i="3"/>
  <c r="D20" i="3"/>
  <c r="D19" i="3"/>
  <c r="D18" i="3"/>
  <c r="D17" i="3"/>
  <c r="D16" i="3"/>
  <c r="D15" i="3"/>
  <c r="D14" i="3"/>
  <c r="D13" i="3"/>
  <c r="D12" i="3"/>
  <c r="D11" i="3"/>
  <c r="D10" i="3"/>
  <c r="D9" i="3"/>
  <c r="D8" i="3"/>
  <c r="D7" i="3"/>
  <c r="D6" i="3"/>
  <c r="D5" i="3"/>
  <c r="D4" i="3"/>
</calcChain>
</file>

<file path=xl/sharedStrings.xml><?xml version="1.0" encoding="utf-8"?>
<sst xmlns="http://schemas.openxmlformats.org/spreadsheetml/2006/main" count="378" uniqueCount="307">
  <si>
    <t>【医療機関様用】ヒアリングシート・必要書類リスト</t>
  </si>
  <si>
    <t>NO</t>
  </si>
  <si>
    <t>確認事項</t>
  </si>
  <si>
    <t>回答内容</t>
  </si>
  <si>
    <t>1.医療機関の基本情報</t>
  </si>
  <si>
    <t>法人名（登記簿上）</t>
  </si>
  <si>
    <t>医療法人山中会</t>
  </si>
  <si>
    <t>登記簿で要確認</t>
  </si>
  <si>
    <t>yama整形外科クリニック</t>
  </si>
  <si>
    <t>診療所開設届で要確認</t>
  </si>
  <si>
    <t>医療機関/郵便番号（診療所開設届上）</t>
  </si>
  <si>
    <t>123-4567</t>
  </si>
  <si>
    <t>医療機関/住所（診療所開設届上）</t>
  </si>
  <si>
    <t>神奈川県横須賀市浦賀1-2-3</t>
  </si>
  <si>
    <t>開設者（診療所開設届上）※医療法人の場合（役職も必要）</t>
  </si>
  <si>
    <t>理事長　山中 次郎</t>
  </si>
  <si>
    <t>山中 次郎</t>
  </si>
  <si>
    <t>氏名</t>
  </si>
  <si>
    <t>電話番号</t>
  </si>
  <si>
    <t>0468-43-1234</t>
  </si>
  <si>
    <t>メールアドレス</t>
  </si>
  <si>
    <t>yamada@abc.com</t>
  </si>
  <si>
    <t>事務担当者の連絡先（通常院長、事務長、連絡担当者）</t>
  </si>
  <si>
    <t>伊藤 四郎</t>
  </si>
  <si>
    <t>0468-12-3456</t>
  </si>
  <si>
    <t>ito@abc.com</t>
  </si>
  <si>
    <t>関連会社の連絡</t>
  </si>
  <si>
    <t>出入り卸売り業者
※遠心機、クリーンブースのご購入元に納品時期等確認させて頂く場合あり。</t>
  </si>
  <si>
    <t>会社名：
担当者名：
電話番号：
Eメール：</t>
  </si>
  <si>
    <t>（開業の場合）開業コンサル会社
※開設日、開業前の各種スケジュール等の確認等でご連絡する場合あり。</t>
  </si>
  <si>
    <t>2.再生医療に関する事項</t>
  </si>
  <si>
    <t>再生医療の名称等（カテゴリ・種別・名称）</t>
  </si>
  <si>
    <t>再生医療①（右記タブから選択）</t>
  </si>
  <si>
    <t>自家多血小板血漿（PRP）を用いた関節内組織損傷に対する治療</t>
  </si>
  <si>
    <t>上記治療費の設定（税別）</t>
  </si>
  <si>
    <t>〇〇円/回　</t>
  </si>
  <si>
    <t>PRPと幹細胞はソート自体を分ける</t>
  </si>
  <si>
    <t>再生医療②（右記タブから選択）</t>
  </si>
  <si>
    <t>四肢の筋・腱・靱帯及びその付着部の傷害を対象とした自家多血小板血漿（PRP）注入療法</t>
  </si>
  <si>
    <t>カウンセリング費：〇〇円
血液検査費：〇〇円
1億cell：〇〇円/回
2億cell：〇〇円/回</t>
  </si>
  <si>
    <t>再生医療③（右記タブから選択）</t>
  </si>
  <si>
    <t>再生医療④（右記タブから選択）</t>
  </si>
  <si>
    <t>委託先業者の選択（PRPの場合）</t>
  </si>
  <si>
    <t>PRPキットメーカー①（右記タブから選択）</t>
  </si>
  <si>
    <t>Condensia PRP調製キット（京セラ）</t>
  </si>
  <si>
    <t>PRPキットメーカー②（右記タブから選択）</t>
  </si>
  <si>
    <t>GPSⅢ システム（ZIMMER BIOMET）</t>
  </si>
  <si>
    <t>PRPキットメーカー③（右記タブから選択）</t>
  </si>
  <si>
    <t>APSキット （ZIMMER BIOMET）</t>
  </si>
  <si>
    <t>必要な採血量（複数キットの場合は〇ml-〇ml)</t>
  </si>
  <si>
    <t>委託先業者の選択（幹細胞の場合）</t>
  </si>
  <si>
    <t>培養委託先メーカー（右記タブから選択）</t>
  </si>
  <si>
    <t>グランソール免疫研究所</t>
  </si>
  <si>
    <t>←施設番号</t>
  </si>
  <si>
    <t>採血・製造・投与の場所（PRPの場合）</t>
  </si>
  <si>
    <t>PRP製造場所（細胞培養加工施設として届出するお部屋）
※区画として区切られた部屋（カーテン等は原則不可）
※通常：処置室が多い</t>
  </si>
  <si>
    <t>人員・診療時間等</t>
  </si>
  <si>
    <t>再生医療を行う医師の氏名</t>
  </si>
  <si>
    <t>〇〇 〇〇</t>
  </si>
  <si>
    <t>再生医療を行う医師（行が足りない場合は増やしてください）</t>
  </si>
  <si>
    <t>製造責任者（通常、院長や再生医療をご担当される責任者）</t>
  </si>
  <si>
    <t>品質責任者（通常、院長や治療医師をサポートする看護師等）</t>
  </si>
  <si>
    <t>治療価格の設定</t>
  </si>
  <si>
    <t>PRP治療①</t>
  </si>
  <si>
    <t>【1回当たりのPRP治療費（税別）】
〇〇キットを用いた治療：〇〇〇円</t>
  </si>
  <si>
    <t>必要な準備品（PRPの場合）</t>
  </si>
  <si>
    <t>遠心分離機</t>
  </si>
  <si>
    <t>クリーンベンチ又はクリーンブース（右記タブより選択）</t>
  </si>
  <si>
    <t>クリーンブース</t>
  </si>
  <si>
    <t>救急対応等に関する準備</t>
  </si>
  <si>
    <t>再生医療にかかる健康被害を補償・カバーする加入保険名称
※例：日本医師会「日医医賠償責任保険」、「医療施設賠償責任保険」、●●県医師協同組合「●●県医師会団体医師賠償責任保険」、「再生医療サポート保険」等加入されている保険を教えて下さい
※医療賠償保険の場合、再生医療等の健康被害について補償があるか確認下さい。</t>
  </si>
  <si>
    <t>3.ご準備頂きたい資料等について</t>
  </si>
  <si>
    <t>（新規開業の場合のみ）診療所開設届</t>
  </si>
  <si>
    <t>（法人の場合)履歴事項全部証明書又は現在事項証明書</t>
  </si>
  <si>
    <t>各医師の履歴書　※再生医療を行う医師全員分</t>
  </si>
  <si>
    <t>別紙「医師履歴書フォーマット」をご参考頂き、ご提供願います。</t>
  </si>
  <si>
    <t>院内平面図（全体）</t>
  </si>
  <si>
    <t>平面図PDFデータをお送りください　
※階数が複数階に亘る場合は全ての階が必要
※複数棟にまたがる場合は全ての棟が分かる平面図</t>
  </si>
  <si>
    <t>敷地図（全体）</t>
  </si>
  <si>
    <t>医療機関の敷地全体が分かる図面</t>
  </si>
  <si>
    <t>救急搬送先との連携書類（登録医証・連携医療機関証等）
※2026年3月より登録医・連携医療機関証が必須</t>
  </si>
  <si>
    <t>取得には申請から1ヶ月程度かかります（連携先医療機関による）
※審査日までに必要</t>
  </si>
  <si>
    <t>4.ご捺印が必要な書類について</t>
  </si>
  <si>
    <t>審査委員会との契約書（/申込書）　</t>
  </si>
  <si>
    <t>別途ご郵送申し上げますので、ご捺印の上、ご返信ください。</t>
  </si>
  <si>
    <t>グローアップコンサルティング事務所との契約書/ 発注書</t>
  </si>
  <si>
    <t>行政書士（作成・申請代行業務）との委任状(契約書/発注書)</t>
  </si>
  <si>
    <t>投与後の評価方法（例　KOOＳ等　１か月後、３か月後、半年後に問診と評価及び記録を行い、委員会審査及び厚生局への定期報告が必要となります）</t>
  </si>
  <si>
    <t>※特にご指定が無ければ、弊所の方でサンプル内容を入力、ご確認頂きます。</t>
  </si>
  <si>
    <t>個人情報保護規定のご提供</t>
  </si>
  <si>
    <t>規定の情報をご共有ください。
※特に無ければ弊所でサンプル内容を入力、ご確認頂きます。</t>
  </si>
  <si>
    <t>以下、申請サポート業者の作業用欄</t>
  </si>
  <si>
    <t>細胞加工施設の情報</t>
  </si>
  <si>
    <t>特定細胞加工物製造事業者の名称</t>
  </si>
  <si>
    <t>施設番号</t>
  </si>
  <si>
    <t>FC1234567</t>
  </si>
  <si>
    <t>yama整形外科クリニック　細胞加工室</t>
  </si>
  <si>
    <t>受付番号・パスワード</t>
  </si>
  <si>
    <t>受付番号</t>
  </si>
  <si>
    <t>01X1234567</t>
  </si>
  <si>
    <t>パスワード</t>
  </si>
  <si>
    <t>abcdefghi</t>
  </si>
  <si>
    <t>審査委員会情報</t>
  </si>
  <si>
    <t>認定再生医療等委員会の名称</t>
  </si>
  <si>
    <t>認定再生医療等委員会の連絡先名称</t>
  </si>
  <si>
    <t>認定再生医療等委員会の住所</t>
  </si>
  <si>
    <t>認定再生医療等委員会の連絡先TEL</t>
  </si>
  <si>
    <t>認定再生医療等委員会の連絡先メールアドレス</t>
  </si>
  <si>
    <t>（開業の場合）行政書士
※保健所申請・開設届等でスケジュール等の確認が必要となる場合があります。</t>
  </si>
  <si>
    <t>（開業の場合）顧問税理士
※導入に伴い先生側から税務面や手続面等の確認が必要となる場合があります。</t>
  </si>
  <si>
    <t>HP制作担当者・管理業者
※再生医療関連の記事やページを掲載する場合の対応のため</t>
  </si>
  <si>
    <t>医師略歴書
（再生医療等を行う医師）</t>
  </si>
  <si>
    <t>やまなか　じろう</t>
  </si>
  <si>
    <t>生年月日</t>
  </si>
  <si>
    <t>昭和〇〇年〇〇月○○日</t>
  </si>
  <si>
    <t>所属</t>
  </si>
  <si>
    <t>○○病院　整形外科</t>
  </si>
  <si>
    <t>役職</t>
  </si>
  <si>
    <t>整形外科センター長</t>
  </si>
  <si>
    <t>医師免許
職歴</t>
  </si>
  <si>
    <t>医籍番号：第・・・・・号　　
免許取得日：・・・年・・月・・日
○○○○年　○○大学　医学部　卒
20○○年4月～20○○年3月　○○病院　研修医　勤務
20○○年4月～20○○年3月　○○病院　整形外科　勤務
20○○年4月～20○○年3月　○○病院　整形外科　勤務
20○○年4月～20○○年3月　○○病院　整形外科　勤務
20○○年4月～20○○年3月　○○病院　整形外科　勤務
20○○年4月～20○○年3月　○○病院　整形外科　勤務
20○○年4月～20○○年3月　○○病院　整形外科　勤務
20○○年4月～20○○年3月　○○病院　整形外科　勤務
20○○年4月～20○○年3月　○○大学医学部附属病院　整形外科　勤務
20○○年4月～　○○クリニック開業　院長着任　現在に至る</t>
  </si>
  <si>
    <t>専門分野</t>
  </si>
  <si>
    <t>膝関節、スポーツ医学、外傷全般</t>
  </si>
  <si>
    <t>所属学会等</t>
  </si>
  <si>
    <t>日本再生医療学会、日本整形外科学会、日本手外科学会、日本リウマチ学会、日本脊椎脊髄病学会</t>
  </si>
  <si>
    <t>認定医等の資格</t>
  </si>
  <si>
    <t>日本整形外科学会専門医
日本整形外科学会認定運動器リハビリテーション医
日本スポーツ協会公認スポーツドクター
日本障がい者スポーツ協会公認障がい者スポーツ医
日本陸上競技協会公認コーチ</t>
  </si>
  <si>
    <t>臨床経験及び研究に関する実績</t>
  </si>
  <si>
    <t>〈再生医療治療の経験値〉※経験がある場合</t>
  </si>
  <si>
    <t>・脂肪組織由来（幹）細胞を用いた変形性関節症に対する治療：〇症例
・脂肪組織由来(幹)細胞を用いた慢性疼痛に対する治療：〇症例
・PRPを用いた筋・腱・靭帯の軟部組織再生療法：〇症例</t>
  </si>
  <si>
    <t>（臨床経験が無い場合：【研修】に関する記載）</t>
  </si>
  <si>
    <t>2025年〇月開催の日本整形外科学会（日本再生医療学会）におけるPRP治療の臨床や治療成績、課題等を題目に上げたセミナーへ参加済み。
※（京セラ例）2025年8月1日開催の京セラ㈱及びCBC㈱主催のPRP治療の臨床等をテーマに上げたセミナーへ参加済み（座長：東京城南整形外科米川正吾院長、演者：畠山整形外科スポーツクリニック畠山昌久院長他）
※（マイセル例）〇月〇日日本アンチエイジング医療協会主催の〇〇先生によるPRP治療セミナー
2025年〇月〇日、PRPキットメーカー〇〇㈱〇〇氏によるPRPキットの利用方法等のデモンストレーション会を開催済み。</t>
  </si>
  <si>
    <t>（臨床経験が無い場合：【指導体制】に関する記載）
※指導医管理下で数例を指導医と共に実施する体制を求められます（2025年12月記載要請あり）</t>
  </si>
  <si>
    <t>推奨例：PRP治療（幹細胞治療）については、既に治療を実施している当院（又は〇〇病院）の○○医師より2025年〇月に指導を受けております。また、初期の治療は指導を受けながら実施してまいります。
（代替例：PRP治療を行うに当たり、初期の治療はPRPキットメーカー〇〇㈱〇〇氏による立会いのもと実施して参ります。）</t>
  </si>
  <si>
    <t>（救急医療の知識及び経験の確認） 2025年12月追加確認要請あり</t>
  </si>
  <si>
    <t>記載例）救急医療については、〇〇年（又は〇〇病院勤務時）にACLS・BLS等を受講済み（念のため受講済み証があるかご確認下さい）。
記載例）救急医療については、〇〇病院に勤めていた際に実務経験があります。</t>
  </si>
  <si>
    <t>（研究・発表実績がある場合のみ）</t>
  </si>
  <si>
    <t>・膝関節病変における多血小板血療法．第○回XXXXXX学会総会・学術大会，XXXX，東京.（学会発表）
・変形性関節症に対するPRP治療を施行した症例の疼痛改善効果経過観察．○○○○学会誌 XX (X): XX-XX, XXXX（論文）</t>
  </si>
  <si>
    <t>再生医療等の名称</t>
  </si>
  <si>
    <t>カテゴリ</t>
  </si>
  <si>
    <t>診療領域</t>
  </si>
  <si>
    <t>治療名</t>
  </si>
  <si>
    <t>3種PRP</t>
  </si>
  <si>
    <t>整形外科</t>
  </si>
  <si>
    <t>2種PRP</t>
  </si>
  <si>
    <t>美容/皮膚</t>
  </si>
  <si>
    <t>PRP(多血小板血漿)を用いた皮膚の再生を目的とした再生医療</t>
  </si>
  <si>
    <t>AGA</t>
  </si>
  <si>
    <t>PRP(多血小板血漿)を用いた育毛を目的とした再生医療</t>
  </si>
  <si>
    <t>不妊治療</t>
  </si>
  <si>
    <t>子宮内膜に対する自家多血小板血漿（自家PRP）を用いた反復性着床不全を対象とした不妊治療</t>
  </si>
  <si>
    <t>卵巣に対する自家多血小板血漿（自家PRP）を用いた不妊治療</t>
  </si>
  <si>
    <t>2種繊維芽</t>
  </si>
  <si>
    <t>自家培養真皮線維芽細胞を用いた皮膚再生治療</t>
  </si>
  <si>
    <t>2種幹細胞</t>
  </si>
  <si>
    <t>自己脂肪由来幹細胞を用いた皮膚の再生を目的とした再生医療</t>
  </si>
  <si>
    <t>3種免疫療法</t>
  </si>
  <si>
    <t>免疫/美容</t>
  </si>
  <si>
    <t>がんの治療と予防を目的としたNK細胞を用いたアンチエイジング療法</t>
  </si>
  <si>
    <t>自己脂肪組織由来培養間葉系幹細胞を用いた関節系疾患に対する治療（局所投与）</t>
  </si>
  <si>
    <t>変形性関節症に対する自己滑膜由来培養間葉系幹細胞の関節内投与療法</t>
  </si>
  <si>
    <t>全般</t>
  </si>
  <si>
    <t>動脈硬化関連血管障害リスクの低減を目的とした自己脂肪組織由来幹細胞治療</t>
  </si>
  <si>
    <t>自己脂肪由来幹細胞を用いた慢性疼痛治療</t>
  </si>
  <si>
    <t>脳外科</t>
  </si>
  <si>
    <t>自己脂肪由来幹細胞を用いた脳血管障害治療</t>
  </si>
  <si>
    <t>婦人科</t>
  </si>
  <si>
    <t>自己脂肪由来幹細胞を用いたフレイル治療</t>
  </si>
  <si>
    <t>自己脂肪由来幹細胞を用いた更年期障害治療</t>
  </si>
  <si>
    <t>内科</t>
  </si>
  <si>
    <t>自己脂肪由来幹細胞を用いた肝障害治療</t>
  </si>
  <si>
    <t>自己脂肪由来幹細胞を用いた糖尿病治療</t>
  </si>
  <si>
    <t>自己脂肪由来幹細胞を用いた毛髪組織の治療（局所投与）</t>
  </si>
  <si>
    <t>泌尿器科</t>
  </si>
  <si>
    <t>自己脂肪由来幹細胞を用いたED（勃起不全）治療（局所投与）</t>
  </si>
  <si>
    <t>皮膚</t>
  </si>
  <si>
    <t>アトピー性皮膚炎患者の主症状に対する自己脂肪由来間葉系
幹細胞による治療</t>
  </si>
  <si>
    <t>免疫治療</t>
  </si>
  <si>
    <t xml:space="preserve">自己脂肪（組織）由来間葉系幹細胞を用いた自己免疫疾患の治療 </t>
  </si>
  <si>
    <t>（↓6/29泉山追記）</t>
  </si>
  <si>
    <t>PRPメーカー</t>
  </si>
  <si>
    <t>採血量</t>
  </si>
  <si>
    <t>細胞採取の方法</t>
  </si>
  <si>
    <t>細胞の加工の方法</t>
  </si>
  <si>
    <t>細胞加工物の投与の方法</t>
  </si>
  <si>
    <t>■Condensia PRP調製キット（製造販売：京セラメディカル株式会社）
採取方法：採血前に、採血容器＋薬剤採取針を用いて抗凝固剤（別途準備）を採血量に応じて採取する。次に採血容器の薬剤採取針を採血針（21G）に付け替え、患者から静脈血を最大20mL採取する。採取後、採血針を取り外してシーリングキャップを装着し、プランジャーを反時計回りに回して取り外す。採血量・白血球量の調整方針（Recipe AまたはB）を事前に決定しておく必要がある。</t>
  </si>
  <si>
    <t>■Condensia PRP調製キット
採血容器をアダプタに投入し、遠心分離機にセット。600×g・7分間（自然減速開始点500rpm）遠心し、赤血球層と血漿層に分離。
ニードルガイド20mL（黄）を採血容器のガスケット上にセットし、分離容器の連通針20Gを通す。ニードルガイドを反時計回りに回転し、針先がガスケットを貫通したことを確認。
連結した分離容器と採血容器を立てたまま分離容器を押し下げ、血漿層を分離容器に回収。白血球量の調整ポイント：Recipe Aは赤血球層との界面より上2mLを残す、Recipe Bは界面まで回収する。
分離容器から連通針20Gを外しシーリングキャップを装着。プランジャーを取り外す。
分離容器をアダプタに投入し、2,000×g・5分間で遠心。PRP層とPPP層に分離。
ニードルガイド10mL（桃）を分離容器のガスケット上にセットし、回収容器の連通針22Gを通す。回収容器を押し下げてPPP層を回収し、分離容器にPRP層のみを残して調製完了。</t>
  </si>
  <si>
    <t>当院　処置室にて、滅菌汎用注射筒を用いて自家多血小板血漿を患部に投与する。
投与回数については単回〜複数回投与とする。複数回投与を行う場合には、前回投与後少なくとも1週間以上の間隔を空け、症状経過および有害事象の有無等を確認した上で、患者と相談のうえ追加投与を実施する</t>
  </si>
  <si>
    <t>Mycells PRPキット（スモールスピッツ）</t>
  </si>
  <si>
    <t>■Mycells PRPキット（製造販売：ディーマー・メディカル・ジャパン株式会社、販売：株式会社ベリタス）
採取方法：Mycells PRPキットのスピッツ（ゲルセパレーター内包の採血管）に、翼状針付採血ホルダーを使用し、患者から約11mLの静脈血を直接採取する。スピッツにはゲルセパレーターが予め内包されており、採血のみで次工程の準備が完了する。1回遠心でLP-PRP（Leukocyte-poor PRP：赤血球・好中球を含まない）を調製するシンプルな設計となっている。</t>
  </si>
  <si>
    <t>■ Mycells PRPキット
本キットは全工程で清潔操作に留意することが義務付けられている。
血液採取後のスピッツを遠心分離機にセットし、2,000g×7分間遠心分離する。スピッツを1本のみ使用する場合は、対立位置に必ずバランサー（スピッツに血液と同量の水を入れたもの）を置く。
遠心分離後、スピッツ内が赤血球層・ゲルセパレーター層・血漿層（PRP層）の3層に分離していることを目視で確認する。ゲルセパレーターが赤血球と血漿を自動的に分画する。
上層の血漿層（PRP）を清潔操作のもと注入用シリンジへ吸引する。
吸引したPRPを患者に投与する（採血後速やかに使用）。</t>
  </si>
  <si>
    <t>【細胞加工物の投与の方法】
当院　処置室にて、滅菌汎用注射筒を用いて自家多血小板血漿を患部に投与する。
投与回数については単回〜複数回投与とする。複数回投与を行う場合には、前回投与後少なくとも2週間以上の間隔を空け、症状経過および有害事象の有無等を確認した上で、患者と相談のうえ追加投与を実施する</t>
  </si>
  <si>
    <t>Mycells PRPキット（ラージスピッツ）</t>
  </si>
  <si>
    <t>■Mycells PRPキット（製造販売：ディーマー・メディカル・ジャパン株式会社、販売：株式会社ベリタス）
採取方法：Mycells PRPキットのスピッツ（ゲルセパレーター内包の採血管）に、翼状針付採血ホルダーを使用し、患者から約22mLの静脈血を直接採取する。スピッツにはゲルセパレーターが予め内包されており、採血のみで次工程の準備が完了する。1回遠心でLP-PRP（Leukocyte-poor PRP：赤血球・好中球を含まない）を調製するシンプルな設計となっている。</t>
  </si>
  <si>
    <t>【細胞加工物の投与の方法】
当院　処置室にて、滅菌汎用注射筒を用いて自家多血小板血漿を患部に投与する。
投与回数については単回〜複数回投与とする。複数回投与を行う場合には、前回投与後少なくとも3週間以上の間隔を空け、症状経過および有害事象の有無等を確認した上で、患者と相談のうえ追加投与を実施する</t>
  </si>
  <si>
    <t>ACPダブルシリンジ（Arthrex Japan）</t>
  </si>
  <si>
    <t>■Arthrex ACPダブルシリンジ システム（Arthrex Japan 合同会社）
1） 工程を進める前にプランジャー大小両方を引き、上げ下げして、スムーズに動くように準備する。注射針※を先端に取り付け、プランジャー大を引き、ACD-A液を約1.5 mL入れる。血液の採取から30分以内に多血小板血漿を患部に投与する場合、ACD-A液は不要である。 
2） 患者に注射針※を穿刺して、プランジャー大（赤色のウィング）をゆっくりと（2秒毎に1 mLの速度）引き、15 mL (最大16 mL)まで血液を採取する。注射針（※19ゲージの翼状針の使用を推奨)を取り除き、キャップで密封する。</t>
  </si>
  <si>
    <t>■Arthrex ACPダブルシリンジ システム
採取した血液をACPダブルシリンジ内で遠心分離（約1500rpm、約5分）し、血漿層と赤血球層に分離する。外側シリンジから内側シリンジへ上清のPRP（約4〜7mL）を移送し抽出する。操作はシリンジ内で完結する。</t>
  </si>
  <si>
    <t>【細胞加工物の投与の方法】
当院　処置室にて、滅菌汎用注射筒を用いて自家多血小板血漿を患部に投与する。
投与回数については単回〜複数回投与とする。複数回投与を行う場合には、前回投与後少なくとも4週間以上の間隔を空け、症状経過および有害事象の有無等を確認した上で、患者と相談のうえ追加投与を実施する</t>
  </si>
  <si>
    <t>ACP MAX PRP システム（Arthrex Japan）</t>
  </si>
  <si>
    <t>30-90</t>
  </si>
  <si>
    <t>■ACP MAX PRP システム (Arthrex Japan 合同会社)
1） ACP MAX シリンジにルアーキャップを取り付ける。 
2） ACD-A液を入れた注射筒（又は30 mLシリンジ）に血液を採取する。血液量に対するACD-A液量については、以下参照。
【血液量に対するACD-A 液総量】
30ml採血の場合/ACD-A液4ml
60ml採血の場合/ACD-A液8ml
90ml採血の場合/ACD-A液12ml
3） ACP MAX シリンジに採取したACD-A 液を含む血液を入れる。
4） 注射筒を外し、サポートゲージを取り外す</t>
  </si>
  <si>
    <t>■ACP MAX PRP システム
採取血液を遠心分離（血液量により3200rpmを3-9分）し、上清のPPPを除去後、PRP層をACPダブルシリンジへ移送する。さらに1500rpmで約5分遠心し、内側シリンジにPRPを回収する。なお、シリンジ間の接続、移送および回収操作はクリーンベンチ内にて行う。
（血液量と1回目の遠心分離機回転速度）
血液30mlの場合/3200rpmで3分
血液60mlの場合/3200rpmで6分
血液90mlの場合/3200rpmで9分</t>
  </si>
  <si>
    <t>【細胞加工物の投与の方法】
当院　処置室にて、滅菌汎用注射筒を用いて自家多血小板血漿を患部に投与する。
投与回数については単回〜複数回投与とする。複数回投与を行う場合には、前回投与後少なくとも5週間以上の間隔を空け、症状経過および有害事象の有無等を確認した上で、患者と相談のうえ追加投与を実施する</t>
  </si>
  <si>
    <t>Angel cPRP／BMCシステム（Arthrex Japan）</t>
  </si>
  <si>
    <t>40-180</t>
  </si>
  <si>
    <t>【細胞加工物の投与の方法】
当院　処置室にて、滅菌汎用注射筒を用いて自家多血小板血漿を患部に投与する。
投与回数については単回〜複数回投与とする。複数回投与を行う場合には、前回投与後少なくとも6週間以上の間隔を空け、症状経過および有害事象の有無等を確認した上で、患者と相談のうえ追加投与を実施する</t>
  </si>
  <si>
    <t>26-52</t>
  </si>
  <si>
    <t>■GPS III L-PRP分離・抽出キット（製造販売：ジンマーバイオメット合同会社）
1. 採血 
注射針をシリンジに取り付け、ACD-A液を吸引する。 
患者から血液を採取し、穏やかに混和する。 
スタンダードチューブの場合：60mLシリンジにACD-A液8mLを吸引し、血液52mLを採取する。 
ミニチューブの場合：30mLシリンジにACD-A液4mLを吸引し、血液26mL を採取する。
2. 血液の注入 
遠心分離用チューブのスレッドキャップを回す。 
スレッドキャップ及びパッシングポストを取り外し、無菌操作下で採取した全血をゆっくりと注入する。 シリンジチップを外し、白色キャップを回して栓をする。</t>
  </si>
  <si>
    <t>■ジンマーバイオメット社 GPSⅢ
遠心分離（約3200rpm、約15分）により血液成分を分離し、上清PPPを除去後、残存する白血球含有PRP（L-PRP）を吸引回収する。遠心バランス調整および混入防止に留意して操作する。なお、キャップ開閉および吸引操作はクリーンベンチ内にて行う。</t>
  </si>
  <si>
    <t>【細胞加工物の投与の方法】
当院　処置室にて、滅菌汎用注射筒を用いて自家多血小板血漿を患部に投与する。
投与回数については単回〜複数回投与とする。複数回投与を行う場合には、前回投与後少なくとも7週間以上の間隔を空け、症状経過および有害事象の有無等を確認した上で、患者と相談のうえ追加投与を実施する</t>
  </si>
  <si>
    <t>■APSキット(製造販売：ジンマーバイオメット合同会社)　
1. 採血 
注射針をシリンジに取り付け、ACD-A液を吸引する。 
患者から血液を採取し、穏やかに混和する。 
60mLシリンジにACD-A液5mLを吸引し、血液55mLを採取する。 
2. 血液の注入 
APS細胞分離チューブのスレッドキャップを回す。 
スレッドキャップ及びパッシングポストを取り外し、無菌操作下で採取した全血をゆっくりと注入する。 シリンジチップを外し、透明キャップを回して栓をする。</t>
  </si>
  <si>
    <t>■ジンマーバイオメット社 APSキット
遠心分離（約3200rpm、約15分）により細胞溶液を分離後、濃縮チューブに移し、ポリアクリルアミドビーズを用いた吸水濃縮と再遠心（約2000rpm、約2分）を行う。最終的に約2〜3mLを回収する。なお、チューブ間の移送および吸引操作はクリーンベンチ内にて行う。</t>
  </si>
  <si>
    <t>【細胞加工物の投与の方法】
当院　処置室にて、滅菌汎用注射筒を用いて自家多血小板血漿を患部に投与する。
投与回数については単回〜複数回投与とする。複数回投与を行う場合には、前回投与後少なくとも8週間以上の間隔を空け、症状経過および有害事象の有無等を確認した上で、患者と相談のうえ追加投与を実施する</t>
  </si>
  <si>
    <t>Y-PRP SYSTEM（ワイセルバイオ）</t>
  </si>
  <si>
    <t>■Y-PRP SYSTEM(Ycellbio Medical Co.Ltd) 
抗凝固剤（ACD液）1.5mlを20mlシリンジに移す。
18G針を外し、空気を抜き翼状針に接続する。
15mlまで血液を採取する。</t>
  </si>
  <si>
    <t>■Y-PRP SYSTEM(Ycellbio Medical Co.Ltd)
採取血液を専用チューブに移し、遠心分離（約3400rpm、約4分等）を行い血液成分を分離する。バフィーコート層を確認しながら上層のPRPを抽出する。</t>
  </si>
  <si>
    <t>【細胞加工物の投与の方法】
当院　処置室にて、滅菌汎用注射筒を用いて自家多血小板血漿を患部に投与する。
投与回数については単回〜複数回投与とする。複数回投与を行う場合には、前回投与後少なくとも9週間以上の間隔を空け、症状経過および有害事象の有無等を確認した上で、患者と相談のうえ追加投与を実施する</t>
  </si>
  <si>
    <t>Tricell PRP</t>
  </si>
  <si>
    <t>■Tricell PRP(REV-MED Inc）
1.30mlシリンジに血液30mlを採血する。
2.ACD-A液を3mlをシリンジに加える。
3.フィルター付通気口のキャップを一時的に外し、注入口より若干の角度を付けゆっくり血液を注入する。</t>
  </si>
  <si>
    <t>■Tricell PRP(REV-MED Inc）
採取血液をキット内に充填し、遠心分離（約3200rpm、約4分及び追加遠心）により血漿、白血球層及び赤血球層に分離する。分離後、チャンバー操作によりPRP層を分離し回収する。</t>
  </si>
  <si>
    <t>【細胞加工物の投与の方法】
当院　処置室にて、滅菌汎用注射筒を用いて自家多血小板血漿を患部に投与する。
投与回数については単回〜複数回投与とする。複数回投与を行う場合には、前回投与後少なくとも10週間以上の間隔を空け、症状経過および有害事象の有無等を確認した上で、患者と相談のうえ追加投与を実施する</t>
  </si>
  <si>
    <t>必要機器</t>
  </si>
  <si>
    <t>クリーンベンチ</t>
  </si>
  <si>
    <t>審査委員会</t>
  </si>
  <si>
    <t>認定番号</t>
  </si>
  <si>
    <t>連絡先名</t>
  </si>
  <si>
    <t>住所</t>
  </si>
  <si>
    <t>TEL</t>
  </si>
  <si>
    <t>NA8230002</t>
  </si>
  <si>
    <t>JSCSF再生医療等委員会事務局</t>
  </si>
  <si>
    <t>03-5542-1597</t>
  </si>
  <si>
    <t>mail@jscsf.net</t>
  </si>
  <si>
    <t>CONCIDE特定認定再生医療等委員会</t>
  </si>
  <si>
    <t>NA8160003</t>
  </si>
  <si>
    <t>一般社団法人日本保健情報コンソシウム</t>
  </si>
  <si>
    <t>東京都千代田区二番町11-3 相互二番町ビルディング別館7階</t>
  </si>
  <si>
    <t>03-5772-7584</t>
  </si>
  <si>
    <t>CONCIDE認定再生医療等委員会</t>
  </si>
  <si>
    <t>NB3160004</t>
  </si>
  <si>
    <t>MTFG特定認定再生医療等委員会</t>
  </si>
  <si>
    <t>NA8230008</t>
  </si>
  <si>
    <t>モティーフ銀座クリニック内</t>
  </si>
  <si>
    <t>0270-21-3111</t>
  </si>
  <si>
    <t>yauchi240701@gmail.com</t>
  </si>
  <si>
    <t>医療法人清悠会認定再生医療等委員会</t>
  </si>
  <si>
    <t>NB5150007</t>
  </si>
  <si>
    <t>名古屋市名東区高社 1-231 エルパティオ 一社 106</t>
  </si>
  <si>
    <t>052-891-2527</t>
  </si>
  <si>
    <t>安全未来特定認定再生医療等委員会</t>
  </si>
  <si>
    <t>NA8160006</t>
  </si>
  <si>
    <t>044-281-6600</t>
  </si>
  <si>
    <t>日本肌再生医学会特定認定再生医療等委員会</t>
  </si>
  <si>
    <t>NA8150019</t>
  </si>
  <si>
    <t>日本肌再生医学会特定認定再生医療等委員会 苦情・問合せ窓口</t>
  </si>
  <si>
    <t>03-5326-3129</t>
  </si>
  <si>
    <t>info@jssrm.com</t>
  </si>
  <si>
    <t>日本先進医療医師会特定認定再生医療等委員会</t>
  </si>
  <si>
    <t>NA8160004</t>
  </si>
  <si>
    <t>日本先進医療医師会 特定認定再生医療等委員会</t>
  </si>
  <si>
    <t>03-6433-0845</t>
  </si>
  <si>
    <t>日本先進医療医師会再生医療等委員会</t>
  </si>
  <si>
    <t>NB3200007</t>
  </si>
  <si>
    <t>再生医療普及協会特定認定再生医療等委員会</t>
  </si>
  <si>
    <t>NA8160013</t>
  </si>
  <si>
    <t>一般社団法人再生医療普及協会事務局</t>
  </si>
  <si>
    <t>東京都中央区勝どき一丁目13番1号 株式会社セルバンク内</t>
  </si>
  <si>
    <t>03-5547-0203</t>
  </si>
  <si>
    <t>contact@cellbank.co.jp</t>
  </si>
  <si>
    <t>培養委託先メーカー</t>
  </si>
  <si>
    <t>正式施設名称</t>
  </si>
  <si>
    <t>※2施設あるため注意</t>
  </si>
  <si>
    <t>細胞応用技術研究所</t>
  </si>
  <si>
    <t>リソークリニック細胞加工施設</t>
  </si>
  <si>
    <t>モティーフ銀座クリニック細胞加工施設</t>
  </si>
  <si>
    <t>セルバンク</t>
  </si>
  <si>
    <t>RMDC</t>
  </si>
  <si>
    <t>コージンバイオ</t>
  </si>
  <si>
    <t>日本バイオセラピー研究所</t>
  </si>
  <si>
    <t>セルソース</t>
  </si>
  <si>
    <t>バイオマスター</t>
  </si>
  <si>
    <t>バイオアクセル（免疫療法のみ）</t>
  </si>
  <si>
    <t>メディネット（免疫療法のみ）</t>
  </si>
  <si>
    <t>東日本医師賠償責任保険</t>
    <rPh sb="0" eb="3">
      <t>ヒガシニホン</t>
    </rPh>
    <phoneticPr fontId="1"/>
  </si>
  <si>
    <t>電話番号</t>
    <phoneticPr fontId="1"/>
  </si>
  <si>
    <t>患者からの問い合わせ先</t>
    <phoneticPr fontId="1"/>
  </si>
  <si>
    <t>救急医療に必要な施設又は設備の確認
※救急搬送先（連携医療機関）は名称だけで結構です。こちらで病床数や設備をお調べします</t>
    <phoneticPr fontId="1"/>
  </si>
  <si>
    <t>【自施設にて備えている設備】　※AEDや救急カートなどあるものを記載
（設備の内容）救急カートor救急バック（必須）・AED・エコー・血圧測定器・血糖値測定器・X線・MRI等
【救急時に搬送先の医療機関】
（医療機関の名称）山中総合病院（病床数〇〇床）
（施設又は設備の内容）救急指定病院であり、以下の設備をそなえている。
・AED・ECG記録計・血糖値測定器・気道確保用機器・X線・心電図・輸血、輸液のための装置・人工呼吸器・MRI等</t>
    <rPh sb="113" eb="115">
      <t>ヤマナカ</t>
    </rPh>
    <phoneticPr fontId="1"/>
  </si>
  <si>
    <t>■お問合せ先（再生医療等相談窓口）
連絡先：山中クリニック　担当窓口
住所：
電話番号：〇〇-〇〇〇〇-〇〇〇〇
（診療時間外：090-1234-5678）
担当：担当医師
受付時間：〇-〇曜〇:〇-〇:〇、〇:〇-〇:〇
休診日：〇曜午後、〇曜、祝日
※万一、診療時間外に重篤な症状が出た場合は救急車要請等をご考慮ください。</t>
    <rPh sb="22" eb="24">
      <t>ヤマナカ</t>
    </rPh>
    <phoneticPr fontId="1"/>
  </si>
  <si>
    <t>【幹細胞治療の場合】</t>
    <phoneticPr fontId="1"/>
  </si>
  <si>
    <t>6～30mL</t>
    <phoneticPr fontId="1"/>
  </si>
  <si>
    <t>60,000円</t>
    <phoneticPr fontId="1"/>
  </si>
  <si>
    <t>80,000円</t>
  </si>
  <si>
    <t>90,000円</t>
    <phoneticPr fontId="1"/>
  </si>
  <si>
    <t>採血場所　※通常：診察室又は処置室</t>
    <phoneticPr fontId="1"/>
  </si>
  <si>
    <t>診察室又は処置室</t>
    <phoneticPr fontId="1"/>
  </si>
  <si>
    <t>PRP投与の場所　※通常：診察室又は処置室</t>
    <phoneticPr fontId="1"/>
  </si>
  <si>
    <t>再生医療/実施責任者の連絡先（通常院長又は責任者）</t>
    <phoneticPr fontId="1"/>
  </si>
  <si>
    <t>法人/医療機関の基本情報</t>
    <phoneticPr fontId="1"/>
  </si>
  <si>
    <t>開設者（診療所開設届上）※医療法人でない場合（氏名のみ）</t>
    <phoneticPr fontId="1"/>
  </si>
  <si>
    <t>医療機関/名称（診療所開設届上）</t>
    <phoneticPr fontId="1"/>
  </si>
  <si>
    <t>細胞培養加工施設の名称</t>
    <phoneticPr fontId="1"/>
  </si>
  <si>
    <t>認定再生医療等委員会の認定番号</t>
    <phoneticPr fontId="1"/>
  </si>
  <si>
    <t>JSCF再生医療等委員会</t>
    <phoneticPr fontId="1"/>
  </si>
  <si>
    <t>JSCF再生医療等委員会</t>
    <phoneticPr fontId="1"/>
  </si>
  <si>
    <t>テスト住所</t>
    <rPh sb="3" eb="5">
      <t>ジュウショ</t>
    </rPh>
    <phoneticPr fontId="1"/>
  </si>
  <si>
    <t>NA8230002</t>
    <phoneticPr fontId="1"/>
  </si>
</sst>
</file>

<file path=xl/styles.xml><?xml version="1.0" encoding="utf-8"?>
<styleSheet xmlns="http://schemas.openxmlformats.org/spreadsheetml/2006/main" xmlns:mc="http://schemas.openxmlformats.org/markup-compatibility/2006" xmlns:x14ac="http://schemas.microsoft.com/office/spreadsheetml/2009/9/ac" mc:Ignorable="x14ac">
  <fonts count="15">
    <font>
      <sz val="11"/>
      <color theme="1"/>
      <name val="Yu Gothic"/>
      <family val="2"/>
      <scheme val="minor"/>
    </font>
    <font>
      <sz val="6"/>
      <name val="Yu Gothic"/>
      <family val="3"/>
      <charset val="128"/>
      <scheme val="minor"/>
    </font>
    <font>
      <sz val="11"/>
      <color rgb="FFFF0000"/>
      <name val="Yu Gothic"/>
      <family val="3"/>
      <charset val="128"/>
      <scheme val="minor"/>
    </font>
    <font>
      <sz val="11"/>
      <color rgb="FFFF0000"/>
      <name val="Yu Gothic"/>
      <family val="2"/>
      <scheme val="minor"/>
    </font>
    <font>
      <sz val="11"/>
      <color theme="1"/>
      <name val="Yu Gothic"/>
      <family val="3"/>
      <charset val="128"/>
      <scheme val="minor"/>
    </font>
    <font>
      <b/>
      <sz val="16"/>
      <color theme="1"/>
      <name val="Yu Gothic"/>
      <family val="3"/>
      <charset val="128"/>
      <scheme val="minor"/>
    </font>
    <font>
      <b/>
      <sz val="18"/>
      <color theme="1"/>
      <name val="Yu Gothic"/>
      <family val="3"/>
      <charset val="128"/>
      <scheme val="minor"/>
    </font>
    <font>
      <b/>
      <sz val="14"/>
      <color theme="1"/>
      <name val="Yu Gothic"/>
      <family val="3"/>
      <charset val="128"/>
      <scheme val="minor"/>
    </font>
    <font>
      <sz val="11"/>
      <name val="Yu Gothic"/>
      <family val="3"/>
      <charset val="128"/>
      <scheme val="minor"/>
    </font>
    <font>
      <sz val="11"/>
      <name val="Yu Gothic"/>
      <family val="2"/>
      <scheme val="minor"/>
    </font>
    <font>
      <u/>
      <sz val="11"/>
      <color theme="10"/>
      <name val="Yu Gothic"/>
      <family val="2"/>
      <scheme val="minor"/>
    </font>
    <font>
      <b/>
      <sz val="11"/>
      <color rgb="FFFF0000"/>
      <name val="Yu Gothic"/>
      <family val="3"/>
      <charset val="128"/>
      <scheme val="minor"/>
    </font>
    <font>
      <sz val="14"/>
      <color theme="1"/>
      <name val="Yu Gothic"/>
      <family val="3"/>
      <charset val="128"/>
      <scheme val="minor"/>
    </font>
    <font>
      <sz val="16"/>
      <color theme="1"/>
      <name val="Yu Gothic"/>
      <family val="3"/>
      <charset val="128"/>
      <scheme val="minor"/>
    </font>
    <font>
      <b/>
      <sz val="14"/>
      <color rgb="FFFF0000"/>
      <name val="Yu Gothic"/>
      <family val="3"/>
      <charset val="128"/>
      <scheme val="minor"/>
    </font>
  </fonts>
  <fills count="7">
    <fill>
      <patternFill patternType="none"/>
    </fill>
    <fill>
      <patternFill patternType="gray125"/>
    </fill>
    <fill>
      <patternFill patternType="solid">
        <fgColor theme="9" tint="0.79998168889431442"/>
        <bgColor indexed="64"/>
      </patternFill>
    </fill>
    <fill>
      <patternFill patternType="solid">
        <fgColor theme="9" tint="0.39997558519241921"/>
        <bgColor indexed="64"/>
      </patternFill>
    </fill>
    <fill>
      <patternFill patternType="solid">
        <fgColor rgb="FFFFFF00"/>
        <bgColor indexed="64"/>
      </patternFill>
    </fill>
    <fill>
      <patternFill patternType="solid">
        <fgColor theme="0" tint="-0.14999847407452621"/>
        <bgColor indexed="64"/>
      </patternFill>
    </fill>
    <fill>
      <patternFill patternType="solid">
        <fgColor theme="5" tint="0.7999816888943144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2">
    <xf numFmtId="0" fontId="0" fillId="0" borderId="0"/>
    <xf numFmtId="0" fontId="10" fillId="0" borderId="0"/>
  </cellStyleXfs>
  <cellXfs count="49">
    <xf numFmtId="0" fontId="0" fillId="0" borderId="0" xfId="0"/>
    <xf numFmtId="0" fontId="0" fillId="0" borderId="1" xfId="0" applyBorder="1" applyAlignment="1">
      <alignment vertical="center" wrapText="1"/>
    </xf>
    <xf numFmtId="0" fontId="0" fillId="0" borderId="1" xfId="0" applyBorder="1" applyAlignment="1">
      <alignment horizontal="center" vertical="center"/>
    </xf>
    <xf numFmtId="0" fontId="4" fillId="0" borderId="1" xfId="0" applyFont="1" applyBorder="1" applyAlignment="1">
      <alignment vertical="center" wrapText="1"/>
    </xf>
    <xf numFmtId="0" fontId="0" fillId="0" borderId="0" xfId="0" applyAlignment="1">
      <alignment horizontal="center"/>
    </xf>
    <xf numFmtId="0" fontId="3" fillId="0" borderId="1" xfId="0" applyFont="1" applyBorder="1" applyAlignment="1">
      <alignment vertical="center" wrapText="1"/>
    </xf>
    <xf numFmtId="0" fontId="0" fillId="3" borderId="1" xfId="0" applyFill="1" applyBorder="1" applyAlignment="1">
      <alignment horizontal="center" vertical="center"/>
    </xf>
    <xf numFmtId="0" fontId="0" fillId="0" borderId="3" xfId="0" applyBorder="1" applyAlignment="1">
      <alignment horizontal="center" vertical="center"/>
    </xf>
    <xf numFmtId="0" fontId="9" fillId="0" borderId="1" xfId="0" applyFont="1" applyBorder="1" applyAlignment="1">
      <alignment vertical="center" wrapText="1"/>
    </xf>
    <xf numFmtId="0" fontId="8" fillId="0" borderId="1" xfId="0" applyFont="1" applyBorder="1" applyAlignment="1">
      <alignment vertical="center" wrapText="1"/>
    </xf>
    <xf numFmtId="0" fontId="5" fillId="3" borderId="1" xfId="0" applyFont="1" applyFill="1" applyBorder="1" applyAlignment="1">
      <alignment horizontal="center" vertical="center" wrapText="1"/>
    </xf>
    <xf numFmtId="0" fontId="0" fillId="0" borderId="0" xfId="0" applyAlignment="1">
      <alignment wrapText="1"/>
    </xf>
    <xf numFmtId="0" fontId="0" fillId="4" borderId="1" xfId="0" applyFill="1" applyBorder="1" applyAlignment="1">
      <alignment vertical="center" wrapText="1"/>
    </xf>
    <xf numFmtId="0" fontId="0" fillId="4" borderId="1" xfId="0" applyFill="1" applyBorder="1" applyAlignment="1">
      <alignment vertical="center"/>
    </xf>
    <xf numFmtId="0" fontId="10" fillId="0" borderId="1" xfId="1" applyBorder="1" applyAlignment="1">
      <alignment vertical="center" wrapText="1"/>
    </xf>
    <xf numFmtId="0" fontId="0" fillId="0" borderId="0" xfId="0" applyAlignment="1">
      <alignment vertical="center"/>
    </xf>
    <xf numFmtId="0" fontId="0" fillId="0" borderId="0" xfId="0" applyAlignment="1">
      <alignment vertical="center" shrinkToFit="1"/>
    </xf>
    <xf numFmtId="0" fontId="0" fillId="0" borderId="0" xfId="0" applyAlignment="1">
      <alignment horizontal="left" vertical="center"/>
    </xf>
    <xf numFmtId="0" fontId="0" fillId="0" borderId="0" xfId="0" applyAlignment="1">
      <alignment vertical="center" wrapText="1" shrinkToFit="1"/>
    </xf>
    <xf numFmtId="0" fontId="9" fillId="0" borderId="4" xfId="0" applyFont="1" applyBorder="1" applyAlignment="1">
      <alignment vertical="center" wrapText="1"/>
    </xf>
    <xf numFmtId="0" fontId="0" fillId="0" borderId="1" xfId="0" applyBorder="1" applyAlignment="1">
      <alignment vertical="center"/>
    </xf>
    <xf numFmtId="0" fontId="11" fillId="0" borderId="1" xfId="0" applyFont="1" applyBorder="1" applyAlignment="1">
      <alignment vertical="center" wrapText="1"/>
    </xf>
    <xf numFmtId="0" fontId="0" fillId="0" borderId="0" xfId="0" applyAlignment="1">
      <alignment vertical="center" wrapText="1"/>
    </xf>
    <xf numFmtId="0" fontId="3" fillId="0" borderId="0" xfId="0" applyFont="1" applyAlignment="1">
      <alignment vertical="center" wrapText="1"/>
    </xf>
    <xf numFmtId="0" fontId="2" fillId="0" borderId="1" xfId="0" applyFont="1" applyBorder="1" applyAlignment="1">
      <alignment vertical="center" wrapText="1"/>
    </xf>
    <xf numFmtId="0" fontId="0" fillId="5" borderId="1" xfId="0" applyFill="1" applyBorder="1" applyAlignment="1">
      <alignment vertical="center"/>
    </xf>
    <xf numFmtId="0" fontId="0" fillId="5" borderId="1" xfId="0" applyFill="1" applyBorder="1" applyAlignment="1">
      <alignment vertical="center" wrapText="1"/>
    </xf>
    <xf numFmtId="0" fontId="0" fillId="4" borderId="0" xfId="0" applyFill="1"/>
    <xf numFmtId="0" fontId="3" fillId="0" borderId="0" xfId="0" applyFont="1"/>
    <xf numFmtId="0" fontId="14" fillId="5" borderId="0" xfId="0" applyFont="1" applyFill="1" applyAlignment="1">
      <alignment horizontal="left" vertical="center"/>
    </xf>
    <xf numFmtId="0" fontId="12" fillId="5" borderId="0" xfId="0" applyFont="1" applyFill="1" applyAlignment="1">
      <alignment vertical="center" wrapText="1"/>
    </xf>
    <xf numFmtId="0" fontId="0" fillId="6" borderId="1" xfId="0" applyFill="1" applyBorder="1" applyAlignment="1">
      <alignment vertical="center" wrapText="1"/>
    </xf>
    <xf numFmtId="0" fontId="9" fillId="6" borderId="1" xfId="0" applyFont="1" applyFill="1" applyBorder="1" applyAlignment="1">
      <alignment vertical="center" wrapText="1"/>
    </xf>
    <xf numFmtId="0" fontId="0" fillId="0" borderId="1" xfId="0" applyBorder="1" applyAlignment="1">
      <alignment shrinkToFit="1"/>
    </xf>
    <xf numFmtId="0" fontId="0" fillId="4" borderId="1" xfId="0" applyFill="1" applyBorder="1" applyAlignment="1">
      <alignment shrinkToFit="1"/>
    </xf>
    <xf numFmtId="0" fontId="3" fillId="4" borderId="1" xfId="0" applyFont="1" applyFill="1" applyBorder="1" applyAlignment="1">
      <alignment shrinkToFit="1"/>
    </xf>
    <xf numFmtId="0" fontId="2" fillId="4" borderId="1" xfId="0" applyFont="1" applyFill="1" applyBorder="1" applyAlignment="1">
      <alignment shrinkToFit="1"/>
    </xf>
    <xf numFmtId="0" fontId="0" fillId="0" borderId="1" xfId="0" applyBorder="1" applyAlignment="1">
      <alignment horizontal="right" vertical="center"/>
    </xf>
    <xf numFmtId="0" fontId="0" fillId="4" borderId="1" xfId="0" applyFill="1" applyBorder="1" applyAlignment="1">
      <alignment horizontal="right" vertical="center"/>
    </xf>
    <xf numFmtId="0" fontId="0" fillId="0" borderId="0" xfId="0" applyAlignment="1">
      <alignment shrinkToFit="1"/>
    </xf>
    <xf numFmtId="0" fontId="0" fillId="4" borderId="1" xfId="0" applyFill="1" applyBorder="1" applyAlignment="1">
      <alignment vertical="top" wrapText="1"/>
    </xf>
    <xf numFmtId="0" fontId="11" fillId="4" borderId="0" xfId="0" applyFont="1" applyFill="1"/>
    <xf numFmtId="0" fontId="6" fillId="0" borderId="2" xfId="0" applyFont="1" applyBorder="1" applyAlignment="1">
      <alignment horizontal="center" vertical="center"/>
    </xf>
    <xf numFmtId="0" fontId="0" fillId="0" borderId="2" xfId="0" applyBorder="1"/>
    <xf numFmtId="0" fontId="7" fillId="2" borderId="3" xfId="0" applyFont="1" applyFill="1" applyBorder="1" applyAlignment="1">
      <alignment horizontal="left" vertical="center"/>
    </xf>
    <xf numFmtId="0" fontId="0" fillId="0" borderId="4" xfId="0" applyBorder="1"/>
    <xf numFmtId="0" fontId="0" fillId="0" borderId="5" xfId="0" applyBorder="1" applyAlignment="1">
      <alignment horizontal="center" vertical="center" wrapText="1"/>
    </xf>
    <xf numFmtId="0" fontId="0" fillId="0" borderId="6" xfId="0" applyBorder="1"/>
    <xf numFmtId="0" fontId="13" fillId="0" borderId="2" xfId="0" applyFont="1" applyBorder="1" applyAlignment="1">
      <alignment horizontal="center" wrapText="1"/>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ito@abc.com" TargetMode="External"/><Relationship Id="rId1" Type="http://schemas.openxmlformats.org/officeDocument/2006/relationships/hyperlink" Target="mailto:yamada@abc.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98"/>
  <sheetViews>
    <sheetView tabSelected="1" view="pageBreakPreview" topLeftCell="A85" zoomScaleNormal="100" zoomScaleSheetLayoutView="100" workbookViewId="0">
      <selection activeCell="C92" sqref="C92"/>
    </sheetView>
  </sheetViews>
  <sheetFormatPr defaultRowHeight="18"/>
  <cols>
    <col min="1" max="1" width="5.09765625" style="4" customWidth="1"/>
    <col min="2" max="2" width="54.5" style="11" customWidth="1"/>
    <col min="3" max="3" width="65.69921875" style="11" customWidth="1"/>
    <col min="4" max="4" width="20" customWidth="1"/>
  </cols>
  <sheetData>
    <row r="1" spans="1:4" ht="27" customHeight="1">
      <c r="A1" s="42" t="s">
        <v>0</v>
      </c>
      <c r="B1" s="43"/>
      <c r="C1" s="43"/>
    </row>
    <row r="2" spans="1:4" ht="29.1" customHeight="1">
      <c r="A2" s="6" t="s">
        <v>1</v>
      </c>
      <c r="B2" s="10" t="s">
        <v>2</v>
      </c>
      <c r="C2" s="10" t="s">
        <v>3</v>
      </c>
    </row>
    <row r="3" spans="1:4" ht="24" customHeight="1">
      <c r="A3" s="44" t="s">
        <v>4</v>
      </c>
      <c r="B3" s="45"/>
      <c r="C3" s="45"/>
    </row>
    <row r="4" spans="1:4" ht="24.6" customHeight="1">
      <c r="A4" s="13" t="s">
        <v>298</v>
      </c>
      <c r="B4" s="12"/>
      <c r="C4" s="8"/>
    </row>
    <row r="5" spans="1:4">
      <c r="A5" s="2">
        <v>1</v>
      </c>
      <c r="B5" s="1" t="s">
        <v>5</v>
      </c>
      <c r="C5" s="8" t="s">
        <v>6</v>
      </c>
      <c r="D5" t="s">
        <v>7</v>
      </c>
    </row>
    <row r="6" spans="1:4">
      <c r="A6" s="2">
        <v>1</v>
      </c>
      <c r="B6" s="1" t="s">
        <v>300</v>
      </c>
      <c r="C6" s="8" t="s">
        <v>8</v>
      </c>
      <c r="D6" t="s">
        <v>9</v>
      </c>
    </row>
    <row r="7" spans="1:4">
      <c r="A7" s="2"/>
      <c r="B7" s="1" t="s">
        <v>10</v>
      </c>
      <c r="C7" s="8" t="s">
        <v>11</v>
      </c>
      <c r="D7" t="s">
        <v>9</v>
      </c>
    </row>
    <row r="8" spans="1:4">
      <c r="A8" s="2"/>
      <c r="B8" s="1" t="s">
        <v>12</v>
      </c>
      <c r="C8" s="8" t="s">
        <v>13</v>
      </c>
      <c r="D8" t="s">
        <v>9</v>
      </c>
    </row>
    <row r="9" spans="1:4">
      <c r="A9" s="2">
        <v>1</v>
      </c>
      <c r="B9" s="1" t="s">
        <v>14</v>
      </c>
      <c r="C9" s="8" t="s">
        <v>15</v>
      </c>
    </row>
    <row r="10" spans="1:4">
      <c r="A10" s="2"/>
      <c r="B10" s="1" t="s">
        <v>299</v>
      </c>
      <c r="C10" s="8" t="s">
        <v>16</v>
      </c>
    </row>
    <row r="11" spans="1:4" ht="24.6" customHeight="1">
      <c r="A11" s="13" t="s">
        <v>297</v>
      </c>
      <c r="B11" s="12"/>
      <c r="C11" s="8"/>
    </row>
    <row r="12" spans="1:4">
      <c r="A12" s="2">
        <v>2</v>
      </c>
      <c r="B12" s="1" t="s">
        <v>17</v>
      </c>
      <c r="C12" s="8" t="s">
        <v>16</v>
      </c>
    </row>
    <row r="13" spans="1:4">
      <c r="A13" s="2"/>
      <c r="B13" s="1" t="s">
        <v>284</v>
      </c>
      <c r="C13" s="8" t="s">
        <v>19</v>
      </c>
    </row>
    <row r="14" spans="1:4" ht="18" customHeight="1">
      <c r="A14" s="2"/>
      <c r="B14" s="1" t="s">
        <v>20</v>
      </c>
      <c r="C14" s="14" t="s">
        <v>21</v>
      </c>
    </row>
    <row r="15" spans="1:4" ht="24.6" customHeight="1">
      <c r="A15" s="13" t="s">
        <v>22</v>
      </c>
      <c r="B15" s="12"/>
      <c r="C15" s="8"/>
    </row>
    <row r="16" spans="1:4">
      <c r="A16" s="2"/>
      <c r="B16" s="1" t="s">
        <v>17</v>
      </c>
      <c r="C16" s="8" t="s">
        <v>23</v>
      </c>
    </row>
    <row r="17" spans="1:4">
      <c r="A17" s="2"/>
      <c r="B17" s="1" t="s">
        <v>18</v>
      </c>
      <c r="C17" s="8" t="s">
        <v>24</v>
      </c>
    </row>
    <row r="18" spans="1:4" ht="18" customHeight="1">
      <c r="A18" s="2"/>
      <c r="B18" s="1" t="s">
        <v>20</v>
      </c>
      <c r="C18" s="14" t="s">
        <v>25</v>
      </c>
    </row>
    <row r="19" spans="1:4" ht="24.6" customHeight="1">
      <c r="A19" s="13" t="s">
        <v>26</v>
      </c>
      <c r="B19" s="12"/>
      <c r="C19" s="8"/>
    </row>
    <row r="20" spans="1:4" ht="75" customHeight="1">
      <c r="A20" s="2"/>
      <c r="B20" s="1" t="s">
        <v>27</v>
      </c>
      <c r="C20" s="5" t="s">
        <v>28</v>
      </c>
    </row>
    <row r="21" spans="1:4" ht="75" customHeight="1">
      <c r="A21" s="2"/>
      <c r="B21" s="3" t="s">
        <v>29</v>
      </c>
      <c r="C21" s="5" t="s">
        <v>28</v>
      </c>
    </row>
    <row r="22" spans="1:4" ht="24" customHeight="1">
      <c r="A22" s="44" t="s">
        <v>30</v>
      </c>
      <c r="B22" s="45"/>
      <c r="C22" s="45"/>
    </row>
    <row r="23" spans="1:4" ht="21.6" customHeight="1">
      <c r="A23" s="13" t="s">
        <v>31</v>
      </c>
      <c r="B23" s="12"/>
      <c r="C23" s="8"/>
    </row>
    <row r="24" spans="1:4">
      <c r="A24" s="2"/>
      <c r="B24" s="1" t="s">
        <v>32</v>
      </c>
      <c r="C24" s="8" t="s">
        <v>33</v>
      </c>
    </row>
    <row r="25" spans="1:4">
      <c r="A25" s="2"/>
      <c r="B25" s="31" t="s">
        <v>34</v>
      </c>
      <c r="C25" s="32" t="s">
        <v>35</v>
      </c>
      <c r="D25" s="28" t="s">
        <v>36</v>
      </c>
    </row>
    <row r="26" spans="1:4" ht="37.5" customHeight="1">
      <c r="A26" s="2"/>
      <c r="B26" s="1" t="s">
        <v>37</v>
      </c>
      <c r="C26" s="8" t="s">
        <v>38</v>
      </c>
    </row>
    <row r="27" spans="1:4" ht="75" customHeight="1">
      <c r="A27" s="2"/>
      <c r="B27" s="31" t="s">
        <v>34</v>
      </c>
      <c r="C27" s="32" t="s">
        <v>39</v>
      </c>
      <c r="D27" s="28" t="s">
        <v>36</v>
      </c>
    </row>
    <row r="28" spans="1:4">
      <c r="A28" s="2"/>
      <c r="B28" s="1" t="s">
        <v>40</v>
      </c>
      <c r="C28" s="8"/>
    </row>
    <row r="29" spans="1:4">
      <c r="A29" s="2"/>
      <c r="B29" s="1" t="s">
        <v>41</v>
      </c>
      <c r="C29" s="8"/>
    </row>
    <row r="30" spans="1:4" ht="21.6" customHeight="1">
      <c r="A30" s="13" t="s">
        <v>42</v>
      </c>
      <c r="B30" s="12"/>
      <c r="C30" s="8"/>
    </row>
    <row r="31" spans="1:4">
      <c r="A31" s="2"/>
      <c r="B31" s="1" t="s">
        <v>43</v>
      </c>
      <c r="C31" s="8" t="s">
        <v>44</v>
      </c>
    </row>
    <row r="32" spans="1:4">
      <c r="A32" s="2"/>
      <c r="B32" s="31" t="str">
        <f>B$24&amp;"の治療費の設定（税別）"</f>
        <v>再生医療①（右記タブから選択）の治療費の設定（税別）</v>
      </c>
      <c r="C32" s="32" t="s">
        <v>291</v>
      </c>
    </row>
    <row r="33" spans="1:5">
      <c r="A33" s="2"/>
      <c r="B33" s="31" t="str">
        <f>B$26&amp;"の治療費の設定（税別）"</f>
        <v>再生医療②（右記タブから選択）の治療費の設定（税別）</v>
      </c>
      <c r="C33" s="32" t="s">
        <v>292</v>
      </c>
    </row>
    <row r="34" spans="1:5">
      <c r="A34" s="2"/>
      <c r="B34" s="31" t="str">
        <f>B$28&amp;"の治療費の設定（税別）"</f>
        <v>再生医療③（右記タブから選択）の治療費の設定（税別）</v>
      </c>
      <c r="C34" s="32" t="s">
        <v>293</v>
      </c>
    </row>
    <row r="35" spans="1:5">
      <c r="A35" s="2"/>
      <c r="B35" s="1" t="s">
        <v>45</v>
      </c>
      <c r="C35" s="8" t="s">
        <v>46</v>
      </c>
    </row>
    <row r="36" spans="1:5">
      <c r="A36" s="2"/>
      <c r="B36" s="31" t="str">
        <f>B$24&amp;"の治療費の設定（税別）"</f>
        <v>再生医療①（右記タブから選択）の治療費の設定（税別）</v>
      </c>
      <c r="C36" s="32" t="s">
        <v>291</v>
      </c>
    </row>
    <row r="37" spans="1:5">
      <c r="A37" s="2"/>
      <c r="B37" s="31" t="str">
        <f>B$26&amp;"の治療費の設定（税別）"</f>
        <v>再生医療②（右記タブから選択）の治療費の設定（税別）</v>
      </c>
      <c r="C37" s="32" t="s">
        <v>292</v>
      </c>
    </row>
    <row r="38" spans="1:5">
      <c r="A38" s="2"/>
      <c r="B38" s="31" t="str">
        <f>B$28&amp;"の治療費の設定（税別）"</f>
        <v>再生医療③（右記タブから選択）の治療費の設定（税別）</v>
      </c>
      <c r="C38" s="32" t="s">
        <v>293</v>
      </c>
    </row>
    <row r="39" spans="1:5">
      <c r="A39" s="2"/>
      <c r="B39" s="1" t="s">
        <v>47</v>
      </c>
      <c r="C39" s="8" t="s">
        <v>48</v>
      </c>
    </row>
    <row r="40" spans="1:5">
      <c r="A40" s="2"/>
      <c r="B40" s="31" t="str">
        <f>B$24&amp;"の治療費の設定（税別）"</f>
        <v>再生医療①（右記タブから選択）の治療費の設定（税別）</v>
      </c>
      <c r="C40" s="32" t="s">
        <v>291</v>
      </c>
    </row>
    <row r="41" spans="1:5">
      <c r="A41" s="2"/>
      <c r="B41" s="31" t="str">
        <f>B$26&amp;"の治療費の設定（税別）"</f>
        <v>再生医療②（右記タブから選択）の治療費の設定（税別）</v>
      </c>
      <c r="C41" s="32" t="s">
        <v>292</v>
      </c>
    </row>
    <row r="42" spans="1:5">
      <c r="A42" s="2"/>
      <c r="B42" s="31" t="str">
        <f>B$28&amp;"の治療費の設定（税別）"</f>
        <v>再生医療③（右記タブから選択）の治療費の設定（税別）</v>
      </c>
      <c r="C42" s="32" t="s">
        <v>293</v>
      </c>
    </row>
    <row r="43" spans="1:5">
      <c r="A43" s="2"/>
      <c r="B43" s="1" t="s">
        <v>49</v>
      </c>
      <c r="C43" s="8" t="s">
        <v>290</v>
      </c>
    </row>
    <row r="44" spans="1:5">
      <c r="A44" s="13" t="s">
        <v>50</v>
      </c>
      <c r="B44" s="12"/>
      <c r="C44" s="8"/>
    </row>
    <row r="45" spans="1:5">
      <c r="A45" s="2"/>
      <c r="B45" s="1" t="s">
        <v>51</v>
      </c>
      <c r="C45" s="8" t="s">
        <v>52</v>
      </c>
      <c r="E45" s="28" t="s">
        <v>53</v>
      </c>
    </row>
    <row r="46" spans="1:5">
      <c r="A46" s="13" t="s">
        <v>54</v>
      </c>
      <c r="B46" s="12"/>
      <c r="C46" s="8"/>
    </row>
    <row r="47" spans="1:5">
      <c r="A47" s="2"/>
      <c r="B47" s="1" t="s">
        <v>294</v>
      </c>
      <c r="C47" s="5" t="s">
        <v>295</v>
      </c>
    </row>
    <row r="48" spans="1:5" ht="56.25" customHeight="1">
      <c r="A48" s="2"/>
      <c r="B48" s="1" t="s">
        <v>55</v>
      </c>
      <c r="C48" s="24"/>
    </row>
    <row r="49" spans="1:3">
      <c r="A49" s="2"/>
      <c r="B49" s="1" t="s">
        <v>296</v>
      </c>
      <c r="C49" s="24" t="s">
        <v>295</v>
      </c>
    </row>
    <row r="50" spans="1:3">
      <c r="A50" s="13" t="s">
        <v>56</v>
      </c>
      <c r="B50" s="12"/>
      <c r="C50" s="8"/>
    </row>
    <row r="51" spans="1:3">
      <c r="A51" s="20"/>
      <c r="B51" s="1" t="s">
        <v>57</v>
      </c>
      <c r="C51" s="5" t="s">
        <v>16</v>
      </c>
    </row>
    <row r="52" spans="1:3">
      <c r="A52" s="20"/>
      <c r="B52" s="1" t="s">
        <v>57</v>
      </c>
      <c r="C52" s="24" t="s">
        <v>58</v>
      </c>
    </row>
    <row r="53" spans="1:3">
      <c r="A53" s="20"/>
      <c r="B53" s="1" t="s">
        <v>59</v>
      </c>
      <c r="C53" s="24" t="s">
        <v>58</v>
      </c>
    </row>
    <row r="54" spans="1:3">
      <c r="A54" s="2"/>
      <c r="B54" s="1" t="s">
        <v>60</v>
      </c>
      <c r="C54" s="9"/>
    </row>
    <row r="55" spans="1:3" ht="30" customHeight="1">
      <c r="A55" s="2"/>
      <c r="B55" s="1" t="s">
        <v>61</v>
      </c>
      <c r="C55" s="9"/>
    </row>
    <row r="56" spans="1:3" ht="198" customHeight="1">
      <c r="A56" s="2"/>
      <c r="B56" s="1" t="s">
        <v>285</v>
      </c>
      <c r="C56" s="24" t="s">
        <v>288</v>
      </c>
    </row>
    <row r="57" spans="1:3">
      <c r="A57" s="13" t="s">
        <v>62</v>
      </c>
      <c r="B57" s="12"/>
      <c r="C57" s="8"/>
    </row>
    <row r="58" spans="1:3" ht="57.9" customHeight="1">
      <c r="A58" s="2"/>
      <c r="B58" s="1" t="s">
        <v>63</v>
      </c>
      <c r="C58" s="1" t="s">
        <v>64</v>
      </c>
    </row>
    <row r="59" spans="1:3" ht="47.7" customHeight="1">
      <c r="A59" s="2"/>
      <c r="B59" s="1" t="s">
        <v>289</v>
      </c>
      <c r="C59" s="1"/>
    </row>
    <row r="60" spans="1:3">
      <c r="A60" s="13" t="s">
        <v>65</v>
      </c>
      <c r="B60" s="12"/>
      <c r="C60" s="8"/>
    </row>
    <row r="61" spans="1:3">
      <c r="A61" s="2"/>
      <c r="B61" s="1" t="s">
        <v>66</v>
      </c>
      <c r="C61" s="8"/>
    </row>
    <row r="62" spans="1:3">
      <c r="A62" s="2"/>
      <c r="B62" s="1" t="s">
        <v>67</v>
      </c>
      <c r="C62" s="8" t="s">
        <v>68</v>
      </c>
    </row>
    <row r="63" spans="1:3">
      <c r="A63" s="13" t="s">
        <v>69</v>
      </c>
      <c r="B63" s="12"/>
      <c r="C63" s="19"/>
    </row>
    <row r="64" spans="1:3" ht="150" customHeight="1">
      <c r="A64" s="2"/>
      <c r="B64" s="1" t="s">
        <v>70</v>
      </c>
      <c r="C64" s="5" t="s">
        <v>283</v>
      </c>
    </row>
    <row r="65" spans="1:3" ht="198.9" customHeight="1">
      <c r="A65" s="2"/>
      <c r="B65" s="1" t="s">
        <v>286</v>
      </c>
      <c r="C65" s="5" t="s">
        <v>287</v>
      </c>
    </row>
    <row r="66" spans="1:3" ht="24" customHeight="1">
      <c r="A66" s="44" t="s">
        <v>71</v>
      </c>
      <c r="B66" s="45"/>
      <c r="C66" s="45"/>
    </row>
    <row r="67" spans="1:3">
      <c r="A67" s="7"/>
      <c r="B67" s="3" t="s">
        <v>72</v>
      </c>
      <c r="C67" s="8"/>
    </row>
    <row r="68" spans="1:3">
      <c r="A68" s="2"/>
      <c r="B68" s="3" t="s">
        <v>73</v>
      </c>
      <c r="C68" s="9"/>
    </row>
    <row r="69" spans="1:3">
      <c r="A69" s="2"/>
      <c r="B69" s="1" t="s">
        <v>74</v>
      </c>
      <c r="C69" s="5" t="s">
        <v>75</v>
      </c>
    </row>
    <row r="70" spans="1:3" ht="56.25" customHeight="1">
      <c r="A70" s="2"/>
      <c r="B70" s="1" t="s">
        <v>76</v>
      </c>
      <c r="C70" s="5" t="s">
        <v>77</v>
      </c>
    </row>
    <row r="71" spans="1:3">
      <c r="A71" s="2"/>
      <c r="B71" s="1" t="s">
        <v>78</v>
      </c>
      <c r="C71" s="5" t="s">
        <v>79</v>
      </c>
    </row>
    <row r="72" spans="1:3" ht="37.5" customHeight="1">
      <c r="A72" s="2"/>
      <c r="B72" s="1" t="s">
        <v>80</v>
      </c>
      <c r="C72" s="5" t="s">
        <v>81</v>
      </c>
    </row>
    <row r="73" spans="1:3" ht="24" customHeight="1">
      <c r="A73" s="44" t="s">
        <v>82</v>
      </c>
      <c r="B73" s="45"/>
      <c r="C73" s="45"/>
    </row>
    <row r="74" spans="1:3">
      <c r="A74" s="2"/>
      <c r="B74" s="3" t="s">
        <v>83</v>
      </c>
      <c r="C74" s="5" t="s">
        <v>84</v>
      </c>
    </row>
    <row r="75" spans="1:3">
      <c r="A75" s="2"/>
      <c r="B75" s="3" t="s">
        <v>85</v>
      </c>
      <c r="C75" s="5" t="s">
        <v>84</v>
      </c>
    </row>
    <row r="76" spans="1:3">
      <c r="A76" s="2"/>
      <c r="B76" s="3" t="s">
        <v>86</v>
      </c>
      <c r="C76" s="5" t="s">
        <v>84</v>
      </c>
    </row>
    <row r="77" spans="1:3" ht="56.25" hidden="1" customHeight="1">
      <c r="A77" s="2">
        <v>11</v>
      </c>
      <c r="B77" s="1" t="s">
        <v>87</v>
      </c>
      <c r="C77" s="5" t="s">
        <v>88</v>
      </c>
    </row>
    <row r="78" spans="1:3" ht="37.5" hidden="1" customHeight="1">
      <c r="A78" s="2">
        <v>12</v>
      </c>
      <c r="B78" s="1" t="s">
        <v>89</v>
      </c>
      <c r="C78" s="5" t="s">
        <v>90</v>
      </c>
    </row>
    <row r="80" spans="1:3" ht="24" customHeight="1">
      <c r="A80" s="29" t="s">
        <v>91</v>
      </c>
      <c r="B80" s="30"/>
      <c r="C80" s="23"/>
    </row>
    <row r="81" spans="1:3">
      <c r="A81" s="25" t="s">
        <v>92</v>
      </c>
      <c r="B81" s="26"/>
      <c r="C81" s="8"/>
    </row>
    <row r="82" spans="1:3">
      <c r="A82" s="2"/>
      <c r="B82" s="1" t="s">
        <v>93</v>
      </c>
      <c r="C82" s="5" t="s">
        <v>16</v>
      </c>
    </row>
    <row r="83" spans="1:3">
      <c r="A83" s="2"/>
      <c r="B83" s="1" t="s">
        <v>94</v>
      </c>
      <c r="C83" s="24" t="s">
        <v>95</v>
      </c>
    </row>
    <row r="84" spans="1:3">
      <c r="A84" s="2"/>
      <c r="B84" s="1" t="s">
        <v>301</v>
      </c>
      <c r="C84" s="24" t="s">
        <v>96</v>
      </c>
    </row>
    <row r="85" spans="1:3">
      <c r="A85" s="25" t="s">
        <v>97</v>
      </c>
      <c r="B85" s="26"/>
      <c r="C85" s="8"/>
    </row>
    <row r="86" spans="1:3">
      <c r="A86" s="2"/>
      <c r="B86" s="1" t="s">
        <v>98</v>
      </c>
      <c r="C86" s="5" t="s">
        <v>99</v>
      </c>
    </row>
    <row r="87" spans="1:3">
      <c r="A87" s="2"/>
      <c r="B87" s="1" t="s">
        <v>100</v>
      </c>
      <c r="C87" s="5" t="s">
        <v>101</v>
      </c>
    </row>
    <row r="88" spans="1:3">
      <c r="A88" s="25" t="s">
        <v>102</v>
      </c>
      <c r="B88" s="26"/>
      <c r="C88" s="8"/>
    </row>
    <row r="89" spans="1:3">
      <c r="A89" s="2"/>
      <c r="B89" s="1" t="s">
        <v>103</v>
      </c>
      <c r="C89" s="5" t="s">
        <v>304</v>
      </c>
    </row>
    <row r="90" spans="1:3">
      <c r="A90" s="2"/>
      <c r="B90" s="1" t="s">
        <v>302</v>
      </c>
      <c r="C90" s="1" t="s">
        <v>306</v>
      </c>
    </row>
    <row r="91" spans="1:3">
      <c r="A91" s="2"/>
      <c r="B91" s="31" t="s">
        <v>104</v>
      </c>
      <c r="C91" s="31" t="s">
        <v>230</v>
      </c>
    </row>
    <row r="92" spans="1:3">
      <c r="A92" s="2"/>
      <c r="B92" s="31" t="s">
        <v>105</v>
      </c>
      <c r="C92" s="31" t="s">
        <v>305</v>
      </c>
    </row>
    <row r="93" spans="1:3">
      <c r="A93" s="2"/>
      <c r="B93" s="31" t="s">
        <v>106</v>
      </c>
      <c r="C93" s="31" t="s">
        <v>231</v>
      </c>
    </row>
    <row r="94" spans="1:3">
      <c r="A94" s="2"/>
      <c r="B94" s="31" t="s">
        <v>107</v>
      </c>
      <c r="C94" s="31" t="s">
        <v>232</v>
      </c>
    </row>
    <row r="95" spans="1:3" ht="24.6" customHeight="1">
      <c r="A95" s="25" t="s">
        <v>26</v>
      </c>
      <c r="B95" s="26"/>
      <c r="C95" s="8"/>
    </row>
    <row r="96" spans="1:3" ht="75" customHeight="1">
      <c r="A96" s="2"/>
      <c r="B96" s="1" t="s">
        <v>108</v>
      </c>
      <c r="C96" s="5" t="s">
        <v>28</v>
      </c>
    </row>
    <row r="97" spans="1:3" ht="75" customHeight="1">
      <c r="A97" s="2"/>
      <c r="B97" s="1" t="s">
        <v>109</v>
      </c>
      <c r="C97" s="5" t="s">
        <v>28</v>
      </c>
    </row>
    <row r="98" spans="1:3" ht="75" customHeight="1">
      <c r="A98" s="2"/>
      <c r="B98" s="1" t="s">
        <v>110</v>
      </c>
      <c r="C98" s="5" t="s">
        <v>28</v>
      </c>
    </row>
  </sheetData>
  <mergeCells count="5">
    <mergeCell ref="A1:C1"/>
    <mergeCell ref="A22:C22"/>
    <mergeCell ref="A3:C3"/>
    <mergeCell ref="A66:C66"/>
    <mergeCell ref="A73:C73"/>
  </mergeCells>
  <phoneticPr fontId="1"/>
  <hyperlinks>
    <hyperlink ref="C14" r:id="rId1"/>
    <hyperlink ref="C18" r:id="rId2"/>
  </hyperlinks>
  <pageMargins left="0.23622047244094491" right="0.23622047244094491" top="0.15748031496062989" bottom="0" header="0.31496062992125978" footer="0.31496062992125978"/>
  <pageSetup paperSize="9" scale="73" fitToHeight="0" orientation="portrait" r:id="rId3"/>
  <headerFooter>
    <oddFooter>&amp;R&amp;P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0"/>
  <sheetViews>
    <sheetView topLeftCell="A11" workbookViewId="0">
      <selection activeCell="B2" sqref="B2"/>
    </sheetView>
  </sheetViews>
  <sheetFormatPr defaultRowHeight="18"/>
  <cols>
    <col min="1" max="1" width="21" style="15" customWidth="1"/>
    <col min="2" max="2" width="83.59765625" style="22" customWidth="1"/>
  </cols>
  <sheetData>
    <row r="1" spans="1:2" ht="55.35" customHeight="1">
      <c r="A1" s="48" t="s">
        <v>111</v>
      </c>
      <c r="B1" s="43"/>
    </row>
    <row r="2" spans="1:2">
      <c r="A2" s="20" t="s">
        <v>17</v>
      </c>
      <c r="B2" s="5" t="s">
        <v>112</v>
      </c>
    </row>
    <row r="3" spans="1:2">
      <c r="A3" s="20"/>
      <c r="B3" s="5" t="s">
        <v>16</v>
      </c>
    </row>
    <row r="4" spans="1:2">
      <c r="A4" s="20" t="s">
        <v>113</v>
      </c>
      <c r="B4" s="5" t="s">
        <v>114</v>
      </c>
    </row>
    <row r="5" spans="1:2">
      <c r="A5" s="20" t="s">
        <v>115</v>
      </c>
      <c r="B5" s="5" t="s">
        <v>116</v>
      </c>
    </row>
    <row r="6" spans="1:2">
      <c r="A6" s="20" t="s">
        <v>117</v>
      </c>
      <c r="B6" s="5" t="s">
        <v>118</v>
      </c>
    </row>
    <row r="7" spans="1:2" ht="282.60000000000002" customHeight="1">
      <c r="A7" s="1" t="s">
        <v>119</v>
      </c>
      <c r="B7" s="5" t="s">
        <v>120</v>
      </c>
    </row>
    <row r="8" spans="1:2">
      <c r="A8" s="20" t="s">
        <v>121</v>
      </c>
      <c r="B8" s="5" t="s">
        <v>122</v>
      </c>
    </row>
    <row r="9" spans="1:2">
      <c r="A9" s="20" t="s">
        <v>123</v>
      </c>
      <c r="B9" s="5" t="s">
        <v>124</v>
      </c>
    </row>
    <row r="10" spans="1:2" ht="93.75" customHeight="1">
      <c r="A10" s="20" t="s">
        <v>125</v>
      </c>
      <c r="B10" s="5" t="s">
        <v>126</v>
      </c>
    </row>
    <row r="11" spans="1:2">
      <c r="A11" s="46" t="s">
        <v>127</v>
      </c>
      <c r="B11" s="21" t="s">
        <v>128</v>
      </c>
    </row>
    <row r="12" spans="1:2" ht="56.25" customHeight="1">
      <c r="A12" s="47"/>
      <c r="B12" s="5" t="s">
        <v>129</v>
      </c>
    </row>
    <row r="13" spans="1:2">
      <c r="A13" s="47"/>
      <c r="B13" s="21" t="s">
        <v>130</v>
      </c>
    </row>
    <row r="14" spans="1:2" ht="150" customHeight="1">
      <c r="A14" s="47"/>
      <c r="B14" s="5" t="s">
        <v>131</v>
      </c>
    </row>
    <row r="15" spans="1:2" ht="36" customHeight="1">
      <c r="A15" s="47"/>
      <c r="B15" s="21" t="s">
        <v>132</v>
      </c>
    </row>
    <row r="16" spans="1:2" ht="93.75" customHeight="1">
      <c r="A16" s="47"/>
      <c r="B16" s="5" t="s">
        <v>133</v>
      </c>
    </row>
    <row r="17" spans="1:2">
      <c r="A17" s="47"/>
      <c r="B17" s="21" t="s">
        <v>134</v>
      </c>
    </row>
    <row r="18" spans="1:2" ht="56.25" customHeight="1">
      <c r="A18" s="47"/>
      <c r="B18" s="23" t="s">
        <v>135</v>
      </c>
    </row>
    <row r="19" spans="1:2">
      <c r="A19" s="47"/>
      <c r="B19" s="21" t="s">
        <v>136</v>
      </c>
    </row>
    <row r="20" spans="1:2" ht="75" customHeight="1">
      <c r="A20" s="47"/>
      <c r="B20" s="5" t="s">
        <v>137</v>
      </c>
    </row>
  </sheetData>
  <mergeCells count="2">
    <mergeCell ref="A11:A20"/>
    <mergeCell ref="A1:B1"/>
  </mergeCells>
  <phoneticPr fontId="1"/>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6"/>
  <sheetViews>
    <sheetView workbookViewId="0">
      <selection activeCell="H56" sqref="H56"/>
    </sheetView>
  </sheetViews>
  <sheetFormatPr defaultRowHeight="18"/>
  <cols>
    <col min="1" max="1" width="10.69921875" style="15" customWidth="1"/>
    <col min="2" max="2" width="9.19921875" style="15" customWidth="1"/>
    <col min="3" max="3" width="62.8984375" style="16" customWidth="1"/>
    <col min="4" max="4" width="35.09765625" style="15" customWidth="1"/>
  </cols>
  <sheetData>
    <row r="1" spans="1:4">
      <c r="A1" s="15" t="s">
        <v>138</v>
      </c>
    </row>
    <row r="3" spans="1:4">
      <c r="A3" s="15" t="s">
        <v>139</v>
      </c>
      <c r="B3" s="15" t="s">
        <v>140</v>
      </c>
      <c r="C3" s="16" t="s">
        <v>141</v>
      </c>
    </row>
    <row r="4" spans="1:4">
      <c r="A4" s="15" t="s">
        <v>142</v>
      </c>
      <c r="B4" s="15" t="s">
        <v>143</v>
      </c>
      <c r="C4" s="16" t="s">
        <v>38</v>
      </c>
      <c r="D4" s="17" t="str">
        <f t="shared" ref="D4:D26" si="0">A4&amp;"/"&amp;B4&amp;"/"&amp;C4</f>
        <v>3種PRP/整形外科/四肢の筋・腱・靱帯及びその付着部の傷害を対象とした自家多血小板血漿（PRP）注入療法</v>
      </c>
    </row>
    <row r="5" spans="1:4">
      <c r="A5" s="15" t="s">
        <v>144</v>
      </c>
      <c r="B5" s="15" t="s">
        <v>143</v>
      </c>
      <c r="C5" s="16" t="s">
        <v>33</v>
      </c>
      <c r="D5" s="17" t="str">
        <f t="shared" si="0"/>
        <v>2種PRP/整形外科/自家多血小板血漿（PRP）を用いた関節内組織損傷に対する治療</v>
      </c>
    </row>
    <row r="6" spans="1:4">
      <c r="A6" s="15" t="s">
        <v>142</v>
      </c>
      <c r="B6" s="15" t="s">
        <v>145</v>
      </c>
      <c r="C6" s="16" t="s">
        <v>146</v>
      </c>
      <c r="D6" s="17" t="str">
        <f t="shared" si="0"/>
        <v>3種PRP/美容/皮膚/PRP(多血小板血漿)を用いた皮膚の再生を目的とした再生医療</v>
      </c>
    </row>
    <row r="7" spans="1:4">
      <c r="A7" s="15" t="s">
        <v>142</v>
      </c>
      <c r="B7" s="15" t="s">
        <v>147</v>
      </c>
      <c r="C7" s="16" t="s">
        <v>148</v>
      </c>
      <c r="D7" s="17" t="str">
        <f t="shared" si="0"/>
        <v>3種PRP/AGA/PRP(多血小板血漿)を用いた育毛を目的とした再生医療</v>
      </c>
    </row>
    <row r="8" spans="1:4">
      <c r="A8" s="15" t="s">
        <v>144</v>
      </c>
      <c r="B8" s="15" t="s">
        <v>149</v>
      </c>
      <c r="C8" s="16" t="s">
        <v>150</v>
      </c>
      <c r="D8" s="17" t="str">
        <f t="shared" si="0"/>
        <v>2種PRP/不妊治療/子宮内膜に対する自家多血小板血漿（自家PRP）を用いた反復性着床不全を対象とした不妊治療</v>
      </c>
    </row>
    <row r="9" spans="1:4">
      <c r="A9" s="15" t="s">
        <v>144</v>
      </c>
      <c r="B9" s="15" t="s">
        <v>149</v>
      </c>
      <c r="C9" s="16" t="s">
        <v>151</v>
      </c>
      <c r="D9" s="17" t="str">
        <f t="shared" si="0"/>
        <v>2種PRP/不妊治療/卵巣に対する自家多血小板血漿（自家PRP）を用いた不妊治療</v>
      </c>
    </row>
    <row r="10" spans="1:4">
      <c r="A10" s="15" t="s">
        <v>152</v>
      </c>
      <c r="B10" s="15" t="s">
        <v>145</v>
      </c>
      <c r="C10" s="16" t="s">
        <v>153</v>
      </c>
      <c r="D10" s="17" t="str">
        <f t="shared" si="0"/>
        <v>2種繊維芽/美容/皮膚/自家培養真皮線維芽細胞を用いた皮膚再生治療</v>
      </c>
    </row>
    <row r="11" spans="1:4">
      <c r="A11" s="15" t="s">
        <v>154</v>
      </c>
      <c r="B11" s="15" t="s">
        <v>145</v>
      </c>
      <c r="C11" s="16" t="s">
        <v>155</v>
      </c>
      <c r="D11" s="17" t="str">
        <f t="shared" si="0"/>
        <v>2種幹細胞/美容/皮膚/自己脂肪由来幹細胞を用いた皮膚の再生を目的とした再生医療</v>
      </c>
    </row>
    <row r="12" spans="1:4">
      <c r="A12" s="15" t="s">
        <v>156</v>
      </c>
      <c r="B12" s="15" t="s">
        <v>157</v>
      </c>
      <c r="C12" s="16" t="s">
        <v>158</v>
      </c>
      <c r="D12" s="17" t="str">
        <f t="shared" si="0"/>
        <v>3種免疫療法/免疫/美容/がんの治療と予防を目的としたNK細胞を用いたアンチエイジング療法</v>
      </c>
    </row>
    <row r="13" spans="1:4">
      <c r="A13" s="15" t="s">
        <v>154</v>
      </c>
      <c r="B13" s="15" t="s">
        <v>143</v>
      </c>
      <c r="C13" s="16" t="s">
        <v>159</v>
      </c>
      <c r="D13" s="17" t="str">
        <f t="shared" si="0"/>
        <v>2種幹細胞/整形外科/自己脂肪組織由来培養間葉系幹細胞を用いた関節系疾患に対する治療（局所投与）</v>
      </c>
    </row>
    <row r="14" spans="1:4">
      <c r="A14" s="15" t="s">
        <v>154</v>
      </c>
      <c r="B14" s="15" t="s">
        <v>143</v>
      </c>
      <c r="C14" s="16" t="s">
        <v>160</v>
      </c>
      <c r="D14" s="17" t="str">
        <f t="shared" si="0"/>
        <v>2種幹細胞/整形外科/変形性関節症に対する自己滑膜由来培養間葉系幹細胞の関節内投与療法</v>
      </c>
    </row>
    <row r="15" spans="1:4">
      <c r="A15" s="15" t="s">
        <v>154</v>
      </c>
      <c r="B15" s="15" t="s">
        <v>161</v>
      </c>
      <c r="C15" s="16" t="s">
        <v>162</v>
      </c>
      <c r="D15" s="17" t="str">
        <f t="shared" si="0"/>
        <v>2種幹細胞/全般/動脈硬化関連血管障害リスクの低減を目的とした自己脂肪組織由来幹細胞治療</v>
      </c>
    </row>
    <row r="16" spans="1:4">
      <c r="A16" s="15" t="s">
        <v>154</v>
      </c>
      <c r="B16" s="15" t="s">
        <v>161</v>
      </c>
      <c r="C16" s="16" t="s">
        <v>163</v>
      </c>
      <c r="D16" s="17" t="str">
        <f t="shared" si="0"/>
        <v>2種幹細胞/全般/自己脂肪由来幹細胞を用いた慢性疼痛治療</v>
      </c>
    </row>
    <row r="17" spans="1:4">
      <c r="A17" s="15" t="s">
        <v>154</v>
      </c>
      <c r="B17" s="15" t="s">
        <v>164</v>
      </c>
      <c r="C17" s="16" t="s">
        <v>165</v>
      </c>
      <c r="D17" s="17" t="str">
        <f t="shared" si="0"/>
        <v>2種幹細胞/脳外科/自己脂肪由来幹細胞を用いた脳血管障害治療</v>
      </c>
    </row>
    <row r="18" spans="1:4">
      <c r="A18" s="15" t="s">
        <v>154</v>
      </c>
      <c r="B18" s="15" t="s">
        <v>166</v>
      </c>
      <c r="C18" s="16" t="s">
        <v>167</v>
      </c>
      <c r="D18" s="17" t="str">
        <f t="shared" si="0"/>
        <v>2種幹細胞/婦人科/自己脂肪由来幹細胞を用いたフレイル治療</v>
      </c>
    </row>
    <row r="19" spans="1:4">
      <c r="A19" s="15" t="s">
        <v>154</v>
      </c>
      <c r="B19" s="15" t="s">
        <v>166</v>
      </c>
      <c r="C19" s="16" t="s">
        <v>168</v>
      </c>
      <c r="D19" s="17" t="str">
        <f t="shared" si="0"/>
        <v>2種幹細胞/婦人科/自己脂肪由来幹細胞を用いた更年期障害治療</v>
      </c>
    </row>
    <row r="20" spans="1:4">
      <c r="A20" s="15" t="s">
        <v>154</v>
      </c>
      <c r="B20" s="15" t="s">
        <v>169</v>
      </c>
      <c r="C20" s="16" t="s">
        <v>170</v>
      </c>
      <c r="D20" s="17" t="str">
        <f t="shared" si="0"/>
        <v>2種幹細胞/内科/自己脂肪由来幹細胞を用いた肝障害治療</v>
      </c>
    </row>
    <row r="21" spans="1:4">
      <c r="A21" s="15" t="s">
        <v>154</v>
      </c>
      <c r="B21" s="15" t="s">
        <v>169</v>
      </c>
      <c r="C21" s="16" t="s">
        <v>171</v>
      </c>
      <c r="D21" s="17" t="str">
        <f t="shared" si="0"/>
        <v>2種幹細胞/内科/自己脂肪由来幹細胞を用いた糖尿病治療</v>
      </c>
    </row>
    <row r="22" spans="1:4">
      <c r="A22" s="15" t="s">
        <v>154</v>
      </c>
      <c r="B22" s="15" t="s">
        <v>147</v>
      </c>
      <c r="C22" s="16" t="s">
        <v>172</v>
      </c>
      <c r="D22" s="17" t="str">
        <f t="shared" si="0"/>
        <v>2種幹細胞/AGA/自己脂肪由来幹細胞を用いた毛髪組織の治療（局所投与）</v>
      </c>
    </row>
    <row r="23" spans="1:4">
      <c r="A23" s="15" t="s">
        <v>154</v>
      </c>
      <c r="B23" s="15" t="s">
        <v>173</v>
      </c>
      <c r="C23" s="16" t="s">
        <v>174</v>
      </c>
      <c r="D23" s="17" t="str">
        <f t="shared" si="0"/>
        <v>2種幹細胞/泌尿器科/自己脂肪由来幹細胞を用いたED（勃起不全）治療（局所投与）</v>
      </c>
    </row>
    <row r="24" spans="1:4" ht="37.5" customHeight="1">
      <c r="A24" s="15" t="s">
        <v>154</v>
      </c>
      <c r="B24" s="15" t="s">
        <v>175</v>
      </c>
      <c r="C24" s="18" t="s">
        <v>176</v>
      </c>
      <c r="D24" s="17" t="str">
        <f t="shared" si="0"/>
        <v>2種幹細胞/皮膚/アトピー性皮膚炎患者の主症状に対する自己脂肪由来間葉系
幹細胞による治療</v>
      </c>
    </row>
    <row r="25" spans="1:4">
      <c r="A25" s="15" t="s">
        <v>154</v>
      </c>
      <c r="B25" s="15" t="s">
        <v>177</v>
      </c>
      <c r="C25" s="16" t="s">
        <v>178</v>
      </c>
      <c r="D25" s="17" t="str">
        <f t="shared" si="0"/>
        <v xml:space="preserve">2種幹細胞/免疫治療/自己脂肪（組織）由来間葉系幹細胞を用いた自己免疫疾患の治療 </v>
      </c>
    </row>
    <row r="26" spans="1:4">
      <c r="D26" s="17" t="str">
        <f t="shared" si="0"/>
        <v>//</v>
      </c>
    </row>
  </sheetData>
  <phoneticPr fontId="1"/>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59999389629810485"/>
  </sheetPr>
  <dimension ref="A1:E16"/>
  <sheetViews>
    <sheetView zoomScale="70" zoomScaleNormal="70" workbookViewId="0">
      <selection activeCell="D3" sqref="D3"/>
    </sheetView>
  </sheetViews>
  <sheetFormatPr defaultRowHeight="18"/>
  <cols>
    <col min="1" max="1" width="43.19921875" style="15" customWidth="1"/>
    <col min="2" max="2" width="22.3984375" style="15" customWidth="1"/>
    <col min="3" max="3" width="55.5" style="15" customWidth="1"/>
    <col min="4" max="4" width="60.09765625" style="15" customWidth="1"/>
    <col min="5" max="5" width="47.3984375" customWidth="1"/>
  </cols>
  <sheetData>
    <row r="1" spans="1:5">
      <c r="E1" s="41" t="s">
        <v>179</v>
      </c>
    </row>
    <row r="2" spans="1:5">
      <c r="A2" s="20" t="s">
        <v>180</v>
      </c>
      <c r="B2" s="20" t="s">
        <v>181</v>
      </c>
      <c r="C2" s="20" t="s">
        <v>182</v>
      </c>
      <c r="D2" s="20" t="s">
        <v>183</v>
      </c>
      <c r="E2" s="13" t="s">
        <v>184</v>
      </c>
    </row>
    <row r="3" spans="1:5" ht="300" customHeight="1">
      <c r="A3" s="20" t="s">
        <v>44</v>
      </c>
      <c r="B3" s="20">
        <v>20</v>
      </c>
      <c r="C3" s="1" t="s">
        <v>185</v>
      </c>
      <c r="D3" s="1" t="s">
        <v>186</v>
      </c>
      <c r="E3" s="40" t="s">
        <v>187</v>
      </c>
    </row>
    <row r="4" spans="1:5" ht="187.5" customHeight="1">
      <c r="A4" s="20" t="s">
        <v>188</v>
      </c>
      <c r="B4" s="20">
        <v>11</v>
      </c>
      <c r="C4" s="1" t="s">
        <v>189</v>
      </c>
      <c r="D4" s="1" t="s">
        <v>190</v>
      </c>
      <c r="E4" s="40" t="s">
        <v>191</v>
      </c>
    </row>
    <row r="5" spans="1:5" ht="187.5" customHeight="1">
      <c r="A5" s="20" t="s">
        <v>192</v>
      </c>
      <c r="B5" s="20">
        <v>22</v>
      </c>
      <c r="C5" s="1" t="s">
        <v>193</v>
      </c>
      <c r="D5" s="1" t="s">
        <v>190</v>
      </c>
      <c r="E5" s="40" t="s">
        <v>194</v>
      </c>
    </row>
    <row r="6" spans="1:5" ht="206.25" customHeight="1">
      <c r="A6" s="20" t="s">
        <v>195</v>
      </c>
      <c r="B6" s="20">
        <v>15</v>
      </c>
      <c r="C6" s="1" t="s">
        <v>196</v>
      </c>
      <c r="D6" s="1" t="s">
        <v>197</v>
      </c>
      <c r="E6" s="40" t="s">
        <v>198</v>
      </c>
    </row>
    <row r="7" spans="1:5" ht="206.25" customHeight="1">
      <c r="A7" s="20" t="s">
        <v>199</v>
      </c>
      <c r="B7" s="37" t="s">
        <v>200</v>
      </c>
      <c r="C7" s="1" t="s">
        <v>201</v>
      </c>
      <c r="D7" s="1" t="s">
        <v>202</v>
      </c>
      <c r="E7" s="40" t="s">
        <v>203</v>
      </c>
    </row>
    <row r="8" spans="1:5" ht="150" customHeight="1">
      <c r="A8" s="13" t="s">
        <v>204</v>
      </c>
      <c r="B8" s="38" t="s">
        <v>205</v>
      </c>
      <c r="C8" s="13"/>
      <c r="D8" s="13"/>
      <c r="E8" s="40" t="s">
        <v>206</v>
      </c>
    </row>
    <row r="9" spans="1:5" ht="262.5" customHeight="1">
      <c r="A9" s="20" t="s">
        <v>46</v>
      </c>
      <c r="B9" s="37" t="s">
        <v>207</v>
      </c>
      <c r="C9" s="1" t="s">
        <v>208</v>
      </c>
      <c r="D9" s="1" t="s">
        <v>209</v>
      </c>
      <c r="E9" s="40" t="s">
        <v>210</v>
      </c>
    </row>
    <row r="10" spans="1:5" ht="213.6" customHeight="1">
      <c r="A10" s="20" t="s">
        <v>48</v>
      </c>
      <c r="B10" s="20">
        <v>55</v>
      </c>
      <c r="C10" s="1" t="s">
        <v>211</v>
      </c>
      <c r="D10" s="1" t="s">
        <v>212</v>
      </c>
      <c r="E10" s="40" t="s">
        <v>213</v>
      </c>
    </row>
    <row r="11" spans="1:5" ht="150" customHeight="1">
      <c r="A11" s="20" t="s">
        <v>214</v>
      </c>
      <c r="B11" s="20">
        <v>13.5</v>
      </c>
      <c r="C11" s="1" t="s">
        <v>215</v>
      </c>
      <c r="D11" s="1" t="s">
        <v>216</v>
      </c>
      <c r="E11" s="40" t="s">
        <v>217</v>
      </c>
    </row>
    <row r="12" spans="1:5" ht="150" customHeight="1">
      <c r="A12" s="20" t="s">
        <v>218</v>
      </c>
      <c r="B12" s="20"/>
      <c r="C12" s="1" t="s">
        <v>219</v>
      </c>
      <c r="D12" s="1" t="s">
        <v>220</v>
      </c>
      <c r="E12" s="40" t="s">
        <v>221</v>
      </c>
    </row>
    <row r="14" spans="1:5">
      <c r="A14" s="20" t="s">
        <v>222</v>
      </c>
    </row>
    <row r="15" spans="1:5">
      <c r="A15" s="20" t="s">
        <v>68</v>
      </c>
    </row>
    <row r="16" spans="1:5">
      <c r="A16" s="20" t="s">
        <v>223</v>
      </c>
    </row>
  </sheetData>
  <phoneticPr fontId="1"/>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59999389629810485"/>
  </sheetPr>
  <dimension ref="A1:F11"/>
  <sheetViews>
    <sheetView zoomScaleNormal="100" workbookViewId="0">
      <selection activeCell="B2" sqref="B2:F2"/>
    </sheetView>
  </sheetViews>
  <sheetFormatPr defaultRowHeight="18"/>
  <cols>
    <col min="1" max="1" width="35.8984375" style="39" customWidth="1"/>
    <col min="2" max="2" width="10" style="39" customWidth="1"/>
    <col min="3" max="3" width="31" style="39" customWidth="1"/>
    <col min="4" max="4" width="27.3984375" style="39" customWidth="1"/>
    <col min="5" max="5" width="12.09765625" style="39" customWidth="1"/>
    <col min="6" max="6" width="17" style="39" customWidth="1"/>
  </cols>
  <sheetData>
    <row r="1" spans="1:6">
      <c r="A1" s="33" t="s">
        <v>224</v>
      </c>
      <c r="B1" s="33" t="s">
        <v>225</v>
      </c>
      <c r="C1" s="33" t="s">
        <v>226</v>
      </c>
      <c r="D1" s="33" t="s">
        <v>227</v>
      </c>
      <c r="E1" s="33" t="s">
        <v>228</v>
      </c>
      <c r="F1" s="33" t="s">
        <v>20</v>
      </c>
    </row>
    <row r="2" spans="1:6">
      <c r="A2" s="33" t="s">
        <v>303</v>
      </c>
      <c r="B2" s="33" t="s">
        <v>229</v>
      </c>
      <c r="C2" s="34" t="s">
        <v>230</v>
      </c>
      <c r="D2" s="34" t="s">
        <v>305</v>
      </c>
      <c r="E2" s="34" t="s">
        <v>231</v>
      </c>
      <c r="F2" s="34" t="s">
        <v>232</v>
      </c>
    </row>
    <row r="3" spans="1:6">
      <c r="A3" s="33" t="s">
        <v>233</v>
      </c>
      <c r="B3" s="34" t="s">
        <v>234</v>
      </c>
      <c r="C3" s="35" t="s">
        <v>235</v>
      </c>
      <c r="D3" s="34" t="s">
        <v>236</v>
      </c>
      <c r="E3" s="34" t="s">
        <v>237</v>
      </c>
      <c r="F3" s="34"/>
    </row>
    <row r="4" spans="1:6">
      <c r="A4" s="33" t="s">
        <v>238</v>
      </c>
      <c r="B4" s="34" t="s">
        <v>239</v>
      </c>
      <c r="C4" s="36" t="s">
        <v>235</v>
      </c>
      <c r="D4" s="34" t="s">
        <v>236</v>
      </c>
      <c r="E4" s="34" t="s">
        <v>237</v>
      </c>
      <c r="F4" s="34"/>
    </row>
    <row r="5" spans="1:6">
      <c r="A5" s="33" t="s">
        <v>240</v>
      </c>
      <c r="B5" s="34" t="s">
        <v>241</v>
      </c>
      <c r="C5" s="36" t="s">
        <v>242</v>
      </c>
      <c r="D5" s="34"/>
      <c r="E5" s="34" t="s">
        <v>243</v>
      </c>
      <c r="F5" s="34" t="s">
        <v>244</v>
      </c>
    </row>
    <row r="6" spans="1:6">
      <c r="A6" s="33" t="s">
        <v>245</v>
      </c>
      <c r="B6" s="34" t="s">
        <v>246</v>
      </c>
      <c r="C6" s="36"/>
      <c r="D6" s="34" t="s">
        <v>247</v>
      </c>
      <c r="E6" s="34" t="s">
        <v>248</v>
      </c>
      <c r="F6" s="34"/>
    </row>
    <row r="7" spans="1:6">
      <c r="A7" s="33" t="s">
        <v>249</v>
      </c>
      <c r="B7" s="34" t="s">
        <v>250</v>
      </c>
      <c r="C7" s="36"/>
      <c r="D7" s="34"/>
      <c r="E7" s="34" t="s">
        <v>251</v>
      </c>
      <c r="F7" s="34"/>
    </row>
    <row r="8" spans="1:6">
      <c r="A8" s="33" t="s">
        <v>252</v>
      </c>
      <c r="B8" s="34" t="s">
        <v>253</v>
      </c>
      <c r="C8" s="36" t="s">
        <v>254</v>
      </c>
      <c r="D8" s="34"/>
      <c r="E8" s="34" t="s">
        <v>255</v>
      </c>
      <c r="F8" s="34" t="s">
        <v>256</v>
      </c>
    </row>
    <row r="9" spans="1:6">
      <c r="A9" s="33" t="s">
        <v>257</v>
      </c>
      <c r="B9" s="34" t="s">
        <v>258</v>
      </c>
      <c r="C9" s="36" t="s">
        <v>259</v>
      </c>
      <c r="D9" s="34"/>
      <c r="E9" s="34" t="s">
        <v>260</v>
      </c>
      <c r="F9" s="34"/>
    </row>
    <row r="10" spans="1:6">
      <c r="A10" s="33" t="s">
        <v>261</v>
      </c>
      <c r="B10" s="34" t="s">
        <v>262</v>
      </c>
      <c r="C10" s="36"/>
      <c r="D10" s="34"/>
      <c r="E10" s="34"/>
      <c r="F10" s="34"/>
    </row>
    <row r="11" spans="1:6">
      <c r="A11" s="33" t="s">
        <v>263</v>
      </c>
      <c r="B11" s="34" t="s">
        <v>264</v>
      </c>
      <c r="C11" s="36" t="s">
        <v>265</v>
      </c>
      <c r="D11" s="34" t="s">
        <v>266</v>
      </c>
      <c r="E11" s="34" t="s">
        <v>267</v>
      </c>
      <c r="F11" s="34" t="s">
        <v>268</v>
      </c>
    </row>
  </sheetData>
  <phoneticPr fontId="1"/>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D14"/>
  <sheetViews>
    <sheetView workbookViewId="0">
      <selection activeCell="H56" sqref="H56"/>
    </sheetView>
  </sheetViews>
  <sheetFormatPr defaultRowHeight="18"/>
  <cols>
    <col min="1" max="2" width="40.59765625" customWidth="1"/>
    <col min="3" max="3" width="23.5" customWidth="1"/>
  </cols>
  <sheetData>
    <row r="2" spans="1:4">
      <c r="A2" t="s">
        <v>269</v>
      </c>
      <c r="B2" t="s">
        <v>270</v>
      </c>
      <c r="C2" t="s">
        <v>94</v>
      </c>
    </row>
    <row r="3" spans="1:4">
      <c r="A3" t="s">
        <v>52</v>
      </c>
      <c r="B3" s="27"/>
      <c r="C3" s="27"/>
      <c r="D3" s="28" t="s">
        <v>271</v>
      </c>
    </row>
    <row r="4" spans="1:4">
      <c r="A4" t="s">
        <v>272</v>
      </c>
      <c r="B4" s="27"/>
      <c r="C4" s="27"/>
    </row>
    <row r="5" spans="1:4">
      <c r="A5" t="s">
        <v>273</v>
      </c>
      <c r="B5" s="27"/>
      <c r="C5" s="27"/>
    </row>
    <row r="6" spans="1:4">
      <c r="A6" t="s">
        <v>274</v>
      </c>
      <c r="B6" s="27"/>
      <c r="C6" s="27"/>
    </row>
    <row r="7" spans="1:4">
      <c r="A7" t="s">
        <v>275</v>
      </c>
      <c r="B7" s="27"/>
      <c r="C7" s="27"/>
    </row>
    <row r="8" spans="1:4">
      <c r="A8" t="s">
        <v>276</v>
      </c>
      <c r="B8" s="27"/>
      <c r="C8" s="27"/>
    </row>
    <row r="9" spans="1:4">
      <c r="A9" t="s">
        <v>277</v>
      </c>
      <c r="B9" s="27"/>
      <c r="C9" s="27"/>
    </row>
    <row r="10" spans="1:4">
      <c r="A10" t="s">
        <v>278</v>
      </c>
      <c r="B10" s="27"/>
      <c r="C10" s="27"/>
    </row>
    <row r="11" spans="1:4">
      <c r="A11" t="s">
        <v>279</v>
      </c>
      <c r="B11" s="27"/>
      <c r="C11" s="27"/>
    </row>
    <row r="12" spans="1:4">
      <c r="A12" t="s">
        <v>280</v>
      </c>
      <c r="B12" s="27"/>
      <c r="C12" s="27"/>
    </row>
    <row r="13" spans="1:4">
      <c r="A13" t="s">
        <v>281</v>
      </c>
      <c r="B13" s="27"/>
      <c r="C13" s="27"/>
    </row>
    <row r="14" spans="1:4">
      <c r="A14" t="s">
        <v>282</v>
      </c>
      <c r="B14" s="27"/>
      <c r="C14" s="27"/>
    </row>
  </sheetData>
  <phoneticPr fontId="1"/>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A2" sqref="A2"/>
    </sheetView>
  </sheetViews>
  <sheetFormatPr defaultRowHeight="18"/>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2</vt:i4>
      </vt:variant>
    </vt:vector>
  </HeadingPairs>
  <TitlesOfParts>
    <vt:vector size="9" baseType="lpstr">
      <vt:lpstr>ヒアリングシート（PRP）</vt:lpstr>
      <vt:lpstr>略歴書（PRP）</vt:lpstr>
      <vt:lpstr>カテゴリ・治療名</vt:lpstr>
      <vt:lpstr>PRPメーカー</vt:lpstr>
      <vt:lpstr>審査委員会</vt:lpstr>
      <vt:lpstr>培養委託先</vt:lpstr>
      <vt:lpstr>Sheet6</vt:lpstr>
      <vt:lpstr>'ヒアリングシート（PRP）'!Print_Area</vt:lpstr>
      <vt:lpstr>'ヒアリングシート（PRP）'!Print_Titles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窪倉 勇樹</dc:creator>
  <cp:lastModifiedBy>窪倉 勇樹</cp:lastModifiedBy>
  <cp:lastPrinted>2026-05-29T01:45:30Z</cp:lastPrinted>
  <dcterms:created xsi:type="dcterms:W3CDTF">2015-06-05T18:19:34Z</dcterms:created>
  <dcterms:modified xsi:type="dcterms:W3CDTF">2026-07-03T20:22:45Z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0x010100B9F3419BC2D8D64D830E9AEB8963277A</vt:lpwstr>
  </property>
  <property fmtid="{D5CDD505-2E9C-101B-9397-08002B2CF9AE}" pid="3" name="MediaServiceImageTags">
    <vt:lpwstr/>
  </property>
</Properties>
</file>